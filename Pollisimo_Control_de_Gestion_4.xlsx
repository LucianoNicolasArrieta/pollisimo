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Productos" sheetId="2" state="visible" r:id="rId4"/>
    <sheet name="Stock" sheetId="3" state="visible" r:id="rId5"/>
    <sheet name="Ventas" sheetId="4" state="visible" r:id="rId6"/>
    <sheet name="Compras" sheetId="5" state="visible" r:id="rId7"/>
    <sheet name="Produccion"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<sst xmlns="http://schemas.openxmlformats.org/spreadsheetml/2006/main" count="406" uniqueCount="154">
  <si>
    <t xml:space="preserve">🐔 POLLISIMO 🐔</t>
  </si>
  <si>
    <t xml:space="preserve">Panel de control del emprendimiento</t>
  </si>
  <si>
    <t xml:space="preserve">💰 Total Ventas (entregados)</t>
  </si>
  <si>
    <t xml:space="preserve">🧾 Total Gastos en Insumos</t>
  </si>
  <si>
    <t xml:space="preserve">💵 Ingresos en Efectivo</t>
  </si>
  <si>
    <t xml:space="preserve">🏦 Ingresos por Transferencia</t>
  </si>
  <si>
    <t xml:space="preserve">📈 Ganancia Neta Estimada</t>
  </si>
  <si>
    <t xml:space="preserve">📦 Pedidos Pendientes/Reservados</t>
  </si>
  <si>
    <t xml:space="preserve">🍱 Bandejas Disponibles</t>
  </si>
  <si>
    <t xml:space="preserve">⚠️ Insumos con Stock Bajo</t>
  </si>
  <si>
    <t xml:space="preserve">⚖️ Kilos Disponibles</t>
  </si>
  <si>
    <t xml:space="preserve">🗓️ Última actualización</t>
  </si>
  <si>
    <t xml:space="preserve">Este panel se actualiza solo a medida que cargás datos en las hojas Ventas, Compras, Stock y Producción. No hace falta tocar nada acá.</t>
  </si>
  <si>
    <t xml:space="preserve">📑 Guía rápida de las hojas:</t>
  </si>
  <si>
    <t xml:space="preserve">• Productos</t>
  </si>
  <si>
    <t xml:space="preserve">Precios por kilo y costos de cada producto.</t>
  </si>
  <si>
    <t xml:space="preserve">• Stock</t>
  </si>
  <si>
    <t xml:space="preserve">Insumos: lo que tenés, lo que compraste y lo que usaste. Se actualiza solo.</t>
  </si>
  <si>
    <t xml:space="preserve">• Ventas</t>
  </si>
  <si>
    <t xml:space="preserve">Cada bandeja vendida o reservada: peso, precio calculado y estado.</t>
  </si>
  <si>
    <t xml:space="preserve">• Compras</t>
  </si>
  <si>
    <t xml:space="preserve">Cada compra de insumos. Si 'Afecta Stock' = Sí, suma al stock.</t>
  </si>
  <si>
    <t xml:space="preserve">• Producción</t>
  </si>
  <si>
    <t xml:space="preserve">Insumos usados, costo, bandejas/kilos obtenidos y stock disponible.</t>
  </si>
  <si>
    <t xml:space="preserve">POLLISIMO 🐔 - Productos y Precios</t>
  </si>
  <si>
    <t xml:space="preserve">Cargá acá tus productos con precio por kilo y costo estimado. Esto alimenta el resto del archivo (en Ventas, el precio se calcula solo según el peso de cada bandeja).</t>
  </si>
  <si>
    <t xml:space="preserve">Producto</t>
  </si>
  <si>
    <t xml:space="preserve">Unidad</t>
  </si>
  <si>
    <t xml:space="preserve">Precio por Kg</t>
  </si>
  <si>
    <t xml:space="preserve">Costo Estimado x Kg</t>
  </si>
  <si>
    <t xml:space="preserve">Margen</t>
  </si>
  <si>
    <t xml:space="preserve">Notas</t>
  </si>
  <si>
    <t xml:space="preserve">Milanesa de pollo</t>
  </si>
  <si>
    <t xml:space="preserve">kg</t>
  </si>
  <si>
    <t xml:space="preserve">🟡 Celdas amarillas = completar vos. Las demás se calculan solas.</t>
  </si>
  <si>
    <t xml:space="preserve">POLLISIMO 🐔 - Stock de Insumos</t>
  </si>
  <si>
    <t xml:space="preserve">Stock Inicial = tu último conteo real. Compras y Producción se descuentan/suman solas (según la columna 'Afecta Stock' de esas hojas). Stock Actual = Inicial + Compras − Usado en Producción.</t>
  </si>
  <si>
    <t xml:space="preserve">Insumo</t>
  </si>
  <si>
    <t xml:space="preserve">Stock Inicial</t>
  </si>
  <si>
    <t xml:space="preserve">Compras
(automático)</t>
  </si>
  <si>
    <t xml:space="preserve">Usado en Producción
(automático)</t>
  </si>
  <si>
    <t xml:space="preserve">Stock Actual</t>
  </si>
  <si>
    <t xml:space="preserve">Stock Mínimo</t>
  </si>
  <si>
    <t xml:space="preserve">Estado</t>
  </si>
  <si>
    <t xml:space="preserve">Costo Unitario</t>
  </si>
  <si>
    <t xml:space="preserve">Valor en Stock</t>
  </si>
  <si>
    <t xml:space="preserve">Pechuga de pollo</t>
  </si>
  <si>
    <t xml:space="preserve">Pan rallado</t>
  </si>
  <si>
    <t xml:space="preserve">Huevo</t>
  </si>
  <si>
    <t xml:space="preserve">unidad</t>
  </si>
  <si>
    <t xml:space="preserve">Sal</t>
  </si>
  <si>
    <t xml:space="preserve">Gr</t>
  </si>
  <si>
    <t xml:space="preserve">Provenzal</t>
  </si>
  <si>
    <t xml:space="preserve">Pimenton</t>
  </si>
  <si>
    <t xml:space="preserve">Bandejas</t>
  </si>
  <si>
    <t xml:space="preserve">Arranque</t>
  </si>
  <si>
    <t xml:space="preserve">Folex</t>
  </si>
  <si>
    <t xml:space="preserve">Cofias</t>
  </si>
  <si>
    <t xml:space="preserve">Guantes</t>
  </si>
  <si>
    <t xml:space="preserve">Camiseta</t>
  </si>
  <si>
    <t xml:space="preserve">🟡 Amarillo = completar vos.  🔵 Azul = se calcula solo, no lo edites a mano.</t>
  </si>
  <si>
    <t xml:space="preserve">POLLISIMO 🐔 - Ventas y Pedidos</t>
  </si>
  <si>
    <t xml:space="preserve">Un renglón por bandeja. Si ya reservaron pero todavía no sabés qué bandeja le vas a dar, cargá Producto + Estado "Reservado" y dejá el Peso en blanco: igual descuenta 1 bandeja del stock disponible. Cuando la entregues, completá el Peso y cambiá el Estado a "Entregado" (el precio se calcula solo y se redondea a $100).</t>
  </si>
  <si>
    <t xml:space="preserve">Fecha</t>
  </si>
  <si>
    <t xml:space="preserve">Cliente</t>
  </si>
  <si>
    <t xml:space="preserve">Peso (kg)</t>
  </si>
  <si>
    <t xml:space="preserve">Precio x Kg</t>
  </si>
  <si>
    <t xml:space="preserve">Precio Calculado</t>
  </si>
  <si>
    <t xml:space="preserve">Total (redondeado)</t>
  </si>
  <si>
    <t xml:space="preserve">Medio de Pago</t>
  </si>
  <si>
    <t xml:space="preserve">Estefania Arregui</t>
  </si>
  <si>
    <t xml:space="preserve">Transferencia</t>
  </si>
  <si>
    <t xml:space="preserve">Entregado</t>
  </si>
  <si>
    <t xml:space="preserve">Irma</t>
  </si>
  <si>
    <t xml:space="preserve">Sofi Magallanes</t>
  </si>
  <si>
    <t xml:space="preserve">Emi Pereyra</t>
  </si>
  <si>
    <t xml:space="preserve">Agus Chacon</t>
  </si>
  <si>
    <t xml:space="preserve">Efectivo</t>
  </si>
  <si>
    <t xml:space="preserve">Berni</t>
  </si>
  <si>
    <t xml:space="preserve">Andre </t>
  </si>
  <si>
    <t xml:space="preserve">Cami Harguyntegui</t>
  </si>
  <si>
    <t xml:space="preserve">Mari Murue</t>
  </si>
  <si>
    <t xml:space="preserve">Cata Domato</t>
  </si>
  <si>
    <t xml:space="preserve">Dasil</t>
  </si>
  <si>
    <t xml:space="preserve">Ariel Izquierdo</t>
  </si>
  <si>
    <t xml:space="preserve">Carolina Heger</t>
  </si>
  <si>
    <t xml:space="preserve">Loli Herrera</t>
  </si>
  <si>
    <t xml:space="preserve">Lili Loker</t>
  </si>
  <si>
    <t xml:space="preserve">Reservado</t>
  </si>
  <si>
    <t xml:space="preserve">Fran Isnaldi</t>
  </si>
  <si>
    <t xml:space="preserve">Euge Castelli</t>
  </si>
  <si>
    <t xml:space="preserve">Zul</t>
  </si>
  <si>
    <t xml:space="preserve">Claudia Biolay</t>
  </si>
  <si>
    <t xml:space="preserve">Maria Elva Martinez</t>
  </si>
  <si>
    <t xml:space="preserve">Jose</t>
  </si>
  <si>
    <t xml:space="preserve">Ana Calligo</t>
  </si>
  <si>
    <t xml:space="preserve">Georgi</t>
  </si>
  <si>
    <t xml:space="preserve">Marce Gonzalez</t>
  </si>
  <si>
    <t xml:space="preserve">Augusto</t>
  </si>
  <si>
    <t xml:space="preserve">Pedro Albornoz</t>
  </si>
  <si>
    <t xml:space="preserve">POLLISIMO 🐔 - Compras de Insumos</t>
  </si>
  <si>
    <t xml:space="preserve">Registrá cada compra de insumos. El total se calcula solo, y si "Afecta Stock" está en Sí, se suma automáticamente al Stock Actual.</t>
  </si>
  <si>
    <t xml:space="preserve">Cantidad</t>
  </si>
  <si>
    <t xml:space="preserve">Total</t>
  </si>
  <si>
    <t xml:space="preserve">Proveedor</t>
  </si>
  <si>
    <t xml:space="preserve">Afecta Stock</t>
  </si>
  <si>
    <t xml:space="preserve">Fran Mena</t>
  </si>
  <si>
    <t xml:space="preserve">Ya contemplada en el Stock Inicial</t>
  </si>
  <si>
    <t xml:space="preserve">No</t>
  </si>
  <si>
    <t xml:space="preserve">Los Abuelitos</t>
  </si>
  <si>
    <t xml:space="preserve">Karina</t>
  </si>
  <si>
    <t xml:space="preserve">Nini</t>
  </si>
  <si>
    <t xml:space="preserve">QSY</t>
  </si>
  <si>
    <t xml:space="preserve">Navarro</t>
  </si>
  <si>
    <t xml:space="preserve">Pelu perfu</t>
  </si>
  <si>
    <t xml:space="preserve">Sí</t>
  </si>
  <si>
    <t xml:space="preserve">Las 15 compras de arriba quedaron marcadas "No" porque ya están reflejadas en tu Stock Inicial de la hoja Stock. Las compras nuevas que cargues de acá en adelante ya vienen marcadas "Sí" y se suman solas al stock.</t>
  </si>
  <si>
    <t xml:space="preserve">POLLISIMO 🐔 - Producción</t>
  </si>
  <si>
    <t xml:space="preserve">Un renglón por producción. "Afecta Stock" en Sí descuenta los insumos usados del Stock Actual; en No, queda solo como registro (usalo para producciones anteriores que ya están contempladas en tu Stock Inicial). El costo total, costo x kg y costo x bandeja se calculan solos.</t>
  </si>
  <si>
    <t xml:space="preserve">Producción #</t>
  </si>
  <si>
    <t xml:space="preserve">Afecta
Stock</t>
  </si>
  <si>
    <t xml:space="preserve">Uso: Pechuga de pollo (kg)</t>
  </si>
  <si>
    <t xml:space="preserve">Uso: Pan rallado (kg)</t>
  </si>
  <si>
    <t xml:space="preserve">Uso: Huevo (unidad)</t>
  </si>
  <si>
    <t xml:space="preserve">Uso: Sal (Gr)</t>
  </si>
  <si>
    <t xml:space="preserve">Uso: Provenzal (Gr)</t>
  </si>
  <si>
    <t xml:space="preserve">Uso: Pimenton (Gr)</t>
  </si>
  <si>
    <t xml:space="preserve">Uso: Bandejas (Unidad)</t>
  </si>
  <si>
    <t xml:space="preserve">Uso: Arranque (Unidad)</t>
  </si>
  <si>
    <t xml:space="preserve">Uso: Folex (unidad)</t>
  </si>
  <si>
    <t xml:space="preserve">Uso: Cofias (unidad)</t>
  </si>
  <si>
    <t xml:space="preserve">Uso: Guantes (unidad)</t>
  </si>
  <si>
    <t xml:space="preserve">Uso: Camiseta</t>
  </si>
  <si>
    <t xml:space="preserve">Uso: Insumo 13</t>
  </si>
  <si>
    <t xml:space="preserve">Uso: Insumo 14</t>
  </si>
  <si>
    <t xml:space="preserve">Uso: Insumo 15</t>
  </si>
  <si>
    <t xml:space="preserve">Costo Total
Insumos</t>
  </si>
  <si>
    <t xml:space="preserve">Bandejas
Obtenidas</t>
  </si>
  <si>
    <t xml:space="preserve">Kilos
Obtenidos</t>
  </si>
  <si>
    <t xml:space="preserve">Costo x Kg</t>
  </si>
  <si>
    <t xml:space="preserve">Costo x Bandeja</t>
  </si>
  <si>
    <t xml:space="preserve">Prod-01</t>
  </si>
  <si>
    <t xml:space="preserve">27.30 kg</t>
  </si>
  <si>
    <t xml:space="preserve">Prod-02</t>
  </si>
  <si>
    <t xml:space="preserve">25.00 kg</t>
  </si>
  <si>
    <t xml:space="preserve">Prod-03</t>
  </si>
  <si>
    <t xml:space="preserve">🟡 Amarillo = completar vos.  🔵 Azul = se calcula solo.  "Afecta Stock" = No para las producciones que ya están contempladas en tu Stock Inicial.</t>
  </si>
  <si>
    <t xml:space="preserve">📦 Stock de Producción disponible (producido menos vendido y reservado)</t>
  </si>
  <si>
    <t xml:space="preserve">Kg Producidos</t>
  </si>
  <si>
    <t xml:space="preserve">Kg Vendidos/Reservados</t>
  </si>
  <si>
    <t xml:space="preserve">Kg Disponibles</t>
  </si>
  <si>
    <t xml:space="preserve">Bandejas Producidas</t>
  </si>
  <si>
    <t xml:space="preserve">Band. Vendidas/Reservadas</t>
  </si>
  <si>
    <t xml:space="preserve">Bandejas Disponibles</t>
  </si>
</sst>
</file>

<file path=xl/styles.xml><?xml version="1.0" encoding="utf-8"?>
<styleSheet xmlns="http://schemas.openxmlformats.org/spreadsheetml/2006/main">
  <numFmts count="8">
    <numFmt numFmtId="164" formatCode="General"/>
    <numFmt numFmtId="165" formatCode="\$#,##0"/>
    <numFmt numFmtId="166" formatCode="0"/>
    <numFmt numFmtId="167" formatCode="0.00&quot; kg&quot;"/>
    <numFmt numFmtId="168" formatCode="dd/mm/yyyy"/>
    <numFmt numFmtId="169" formatCode="0.0%"/>
    <numFmt numFmtId="170" formatCode="General"/>
    <numFmt numFmtId="171" formatCode="0.00"/>
  </numFmts>
  <fonts count="15">
    <font>
      <sz val="11"/>
      <color theme="1"/>
      <name val="Calibri"/>
      <family val="0"/>
      <charset val="1"/>
    </font>
    <font>
      <sz val="10"/>
      <name val="Arial"/>
      <family val="0"/>
    </font>
    <font>
      <sz val="10"/>
      <name val="Arial"/>
      <family val="0"/>
    </font>
    <font>
      <sz val="10"/>
      <name val="Arial"/>
      <family val="0"/>
    </font>
    <font>
      <b val="true"/>
      <sz val="26"/>
      <color rgb="FFFFFFFF"/>
      <name val="Arial"/>
      <family val="0"/>
      <charset val="1"/>
    </font>
    <font>
      <b val="true"/>
      <sz val="12"/>
      <color rgb="FF6B3A0F"/>
      <name val="Arial"/>
      <family val="0"/>
      <charset val="1"/>
    </font>
    <font>
      <b val="true"/>
      <sz val="10"/>
      <color rgb="FF4A4A4A"/>
      <name val="Arial"/>
      <family val="0"/>
      <charset val="1"/>
    </font>
    <font>
      <b val="true"/>
      <sz val="18"/>
      <color rgb="FFC0521C"/>
      <name val="Arial"/>
      <family val="0"/>
      <charset val="1"/>
    </font>
    <font>
      <i val="true"/>
      <sz val="9"/>
      <color rgb="FF4A4A4A"/>
      <name val="Arial"/>
      <family val="0"/>
      <charset val="1"/>
    </font>
    <font>
      <b val="true"/>
      <sz val="11"/>
      <color rgb="FFC0521C"/>
      <name val="Arial"/>
      <family val="0"/>
      <charset val="1"/>
    </font>
    <font>
      <sz val="10"/>
      <color rgb="FF4A4A4A"/>
      <name val="Arial"/>
      <family val="0"/>
      <charset val="1"/>
    </font>
    <font>
      <b val="true"/>
      <sz val="16"/>
      <color rgb="FFFFFFFF"/>
      <name val="Arial"/>
      <family val="0"/>
      <charset val="1"/>
    </font>
    <font>
      <b val="true"/>
      <sz val="11"/>
      <color rgb="FFFFFFFF"/>
      <name val="Arial"/>
      <family val="0"/>
      <charset val="1"/>
    </font>
    <font>
      <sz val="11"/>
      <color rgb="FF4A4A4A"/>
      <name val="Arial"/>
      <family val="0"/>
      <charset val="1"/>
    </font>
    <font>
      <b val="true"/>
      <sz val="12"/>
      <color rgb="FFC0521C"/>
      <name val="Arial"/>
      <family val="0"/>
      <charset val="1"/>
    </font>
  </fonts>
  <fills count="9">
    <fill>
      <patternFill patternType="none"/>
    </fill>
    <fill>
      <patternFill patternType="gray125"/>
    </fill>
    <fill>
      <patternFill patternType="solid">
        <fgColor rgb="FFC0521C"/>
        <bgColor rgb="FF993366"/>
      </patternFill>
    </fill>
    <fill>
      <patternFill patternType="solid">
        <fgColor rgb="FFF4C68B"/>
        <bgColor rgb="FFFADBD8"/>
      </patternFill>
    </fill>
    <fill>
      <patternFill patternType="solid">
        <fgColor rgb="FFFBF3E7"/>
        <bgColor rgb="FFFDF8F0"/>
      </patternFill>
    </fill>
    <fill>
      <patternFill patternType="solid">
        <fgColor rgb="FFFFF2CC"/>
        <bgColor rgb="FFFDE9D9"/>
      </patternFill>
    </fill>
    <fill>
      <patternFill patternType="solid">
        <fgColor rgb="FFFFFFFF"/>
        <bgColor rgb="FFFDF8F0"/>
      </patternFill>
    </fill>
    <fill>
      <patternFill patternType="solid">
        <fgColor rgb="FFFDF8F0"/>
        <bgColor rgb="FFFBF3E7"/>
      </patternFill>
    </fill>
    <fill>
      <patternFill patternType="solid">
        <fgColor rgb="FFDCE6F1"/>
        <bgColor rgb="FFEAEAEA"/>
      </patternFill>
    </fill>
  </fills>
  <borders count="3">
    <border diagonalUp="false" diagonalDown="false">
      <left/>
      <right/>
      <top/>
      <bottom/>
      <diagonal/>
    </border>
    <border diagonalUp="false" diagonalDown="false">
      <left/>
      <right/>
      <top/>
      <bottom style="thin">
        <color rgb="FF999999"/>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left" vertical="bottom" textRotation="0" wrapText="false" indent="0" shrinkToFit="false"/>
      <protection locked="true" hidden="false"/>
    </xf>
    <xf numFmtId="165" fontId="7" fillId="4" borderId="0" xfId="0" applyFont="true" applyBorder="true" applyAlignment="true" applyProtection="false">
      <alignment horizontal="left" vertical="bottom" textRotation="0" wrapText="false" indent="0" shrinkToFit="false"/>
      <protection locked="true" hidden="false"/>
    </xf>
    <xf numFmtId="166" fontId="7" fillId="4" borderId="0" xfId="0" applyFont="true" applyBorder="true" applyAlignment="true" applyProtection="false">
      <alignment horizontal="left" vertical="bottom" textRotation="0" wrapText="false" indent="0" shrinkToFit="false"/>
      <protection locked="true" hidden="false"/>
    </xf>
    <xf numFmtId="164" fontId="6" fillId="4" borderId="0" xfId="0" applyFont="true" applyBorder="true" applyAlignment="true" applyProtection="false">
      <alignment horizontal="general" vertical="bottom" textRotation="0" wrapText="false" indent="0" shrinkToFit="false"/>
      <protection locked="true" hidden="false"/>
    </xf>
    <xf numFmtId="167" fontId="7" fillId="4" borderId="0" xfId="0" applyFont="true" applyBorder="true" applyAlignment="true" applyProtection="false">
      <alignment horizontal="left" vertical="bottom" textRotation="0" wrapText="false" indent="0" shrinkToFit="false"/>
      <protection locked="true" hidden="false"/>
    </xf>
    <xf numFmtId="168" fontId="0" fillId="5"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0" fillId="5" borderId="2" xfId="0" applyFont="true" applyBorder="true" applyAlignment="true" applyProtection="false">
      <alignment horizontal="general" vertical="bottom" textRotation="0" wrapText="false" indent="0" shrinkToFit="false"/>
      <protection locked="true" hidden="false"/>
    </xf>
    <xf numFmtId="165" fontId="10" fillId="5" borderId="2" xfId="0" applyFont="true" applyBorder="true" applyAlignment="true" applyProtection="false">
      <alignment horizontal="general" vertical="bottom" textRotation="0" wrapText="false" indent="0" shrinkToFit="false"/>
      <protection locked="true" hidden="false"/>
    </xf>
    <xf numFmtId="169" fontId="10" fillId="6" borderId="2" xfId="0" applyFont="true" applyBorder="true" applyAlignment="true" applyProtection="false">
      <alignment horizontal="general" vertical="bottom" textRotation="0" wrapText="false" indent="0" shrinkToFit="false"/>
      <protection locked="true" hidden="false"/>
    </xf>
    <xf numFmtId="169" fontId="10" fillId="7" borderId="2" xfId="0" applyFont="true" applyBorder="true" applyAlignment="true" applyProtection="false">
      <alignment horizontal="general" vertical="bottom" textRotation="0" wrapText="false" indent="0" shrinkToFit="false"/>
      <protection locked="true" hidden="false"/>
    </xf>
    <xf numFmtId="170" fontId="10" fillId="8" borderId="2" xfId="0" applyFont="true" applyBorder="true" applyAlignment="true" applyProtection="false">
      <alignment horizontal="center" vertical="bottom" textRotation="0" wrapText="false" indent="0" shrinkToFit="false"/>
      <protection locked="true" hidden="false"/>
    </xf>
    <xf numFmtId="164" fontId="10" fillId="6" borderId="2" xfId="0" applyFont="true" applyBorder="true" applyAlignment="true" applyProtection="false">
      <alignment horizontal="center" vertical="bottom" textRotation="0" wrapText="false" indent="0" shrinkToFit="false"/>
      <protection locked="true" hidden="false"/>
    </xf>
    <xf numFmtId="165" fontId="10" fillId="6" borderId="2" xfId="0" applyFont="true" applyBorder="true" applyAlignment="true" applyProtection="false">
      <alignment horizontal="general" vertical="bottom" textRotation="0" wrapText="false" indent="0" shrinkToFit="false"/>
      <protection locked="true" hidden="false"/>
    </xf>
    <xf numFmtId="164" fontId="10" fillId="7" borderId="2" xfId="0" applyFont="true" applyBorder="true" applyAlignment="true" applyProtection="false">
      <alignment horizontal="center" vertical="bottom" textRotation="0" wrapText="false" indent="0" shrinkToFit="false"/>
      <protection locked="true" hidden="false"/>
    </xf>
    <xf numFmtId="165" fontId="10" fillId="7" borderId="2" xfId="0" applyFont="true" applyBorder="true" applyAlignment="true" applyProtection="false">
      <alignment horizontal="general" vertical="bottom" textRotation="0" wrapText="false" indent="0" shrinkToFit="false"/>
      <protection locked="true" hidden="false"/>
    </xf>
    <xf numFmtId="168" fontId="10" fillId="5" borderId="2" xfId="0" applyFont="true" applyBorder="true" applyAlignment="true" applyProtection="false">
      <alignment horizontal="general" vertical="bottom" textRotation="0" wrapText="false" indent="0" shrinkToFit="false"/>
      <protection locked="true" hidden="false"/>
    </xf>
    <xf numFmtId="171" fontId="10" fillId="5" borderId="2" xfId="0" applyFont="true" applyBorder="true" applyAlignment="true" applyProtection="false">
      <alignment horizontal="general" vertical="bottom" textRotation="0" wrapText="false" indent="0" shrinkToFit="false"/>
      <protection locked="true" hidden="false"/>
    </xf>
    <xf numFmtId="165" fontId="10" fillId="8" borderId="2" xfId="0" applyFont="true" applyBorder="true" applyAlignment="true" applyProtection="false">
      <alignment horizontal="general" vertical="bottom" textRotation="0" wrapText="false" indent="0" shrinkToFit="false"/>
      <protection locked="true" hidden="false"/>
    </xf>
    <xf numFmtId="166" fontId="10" fillId="5" borderId="2" xfId="0" applyFont="true" applyBorder="true" applyAlignment="true" applyProtection="false">
      <alignment horizontal="general" vertical="bottom" textRotation="0" wrapText="false" indent="0" shrinkToFit="false"/>
      <protection locked="true" hidden="false"/>
    </xf>
    <xf numFmtId="167" fontId="10" fillId="5" borderId="2" xfId="0" applyFont="true" applyBorder="true" applyAlignment="true" applyProtection="false">
      <alignment horizontal="general" vertical="bottom" textRotation="0" wrapText="false" indent="0" shrinkToFit="false"/>
      <protection locked="true" hidden="false"/>
    </xf>
    <xf numFmtId="171" fontId="13" fillId="5" borderId="2" xfId="0" applyFont="true" applyBorder="true" applyAlignment="true" applyProtection="false">
      <alignment horizontal="right" vertical="bottom" textRotation="0" wrapText="false" indent="0" shrinkToFit="false"/>
      <protection locked="true" hidden="false"/>
    </xf>
    <xf numFmtId="166" fontId="13" fillId="5" borderId="2" xfId="0" applyFont="true" applyBorder="true" applyAlignment="true" applyProtection="false">
      <alignment horizontal="right" vertical="bottom" textRotation="0" wrapText="false" indent="0" shrinkToFit="false"/>
      <protection locked="true" hidden="false"/>
    </xf>
    <xf numFmtId="167" fontId="13" fillId="5" borderId="2" xfId="0" applyFont="true" applyBorder="true" applyAlignment="true" applyProtection="false">
      <alignment horizontal="right"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0" fillId="7" borderId="2" xfId="0" applyFont="true" applyBorder="true" applyAlignment="true" applyProtection="false">
      <alignment horizontal="general" vertical="bottom" textRotation="0" wrapText="false" indent="0" shrinkToFit="false"/>
      <protection locked="true" hidden="false"/>
    </xf>
    <xf numFmtId="171" fontId="10" fillId="7" borderId="2" xfId="0" applyFont="true" applyBorder="true" applyAlignment="true" applyProtection="false">
      <alignment horizontal="general" vertical="bottom" textRotation="0" wrapText="false" indent="0" shrinkToFit="false"/>
      <protection locked="true" hidden="false"/>
    </xf>
    <xf numFmtId="170" fontId="10" fillId="6" borderId="2" xfId="0" applyFont="true" applyBorder="true" applyAlignment="true" applyProtection="false">
      <alignment horizontal="general" vertical="bottom" textRotation="0" wrapText="false" indent="0" shrinkToFit="false"/>
      <protection locked="true" hidden="false"/>
    </xf>
    <xf numFmtId="171" fontId="10" fillId="6" borderId="2"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FADBD8"/>
        </patternFill>
      </fill>
    </dxf>
    <dxf>
      <fill>
        <patternFill>
          <bgColor rgb="FFE2EFDA"/>
        </patternFill>
      </fill>
    </dxf>
    <dxf>
      <fill>
        <patternFill>
          <bgColor rgb="FFF4C68B"/>
        </patternFill>
      </fill>
    </dxf>
    <dxf>
      <fill>
        <patternFill>
          <bgColor rgb="FFFDE9D9"/>
        </patternFill>
      </fill>
    </dxf>
    <dxf>
      <fill>
        <patternFill>
          <bgColor rgb="FFEAEAE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ADBD8"/>
      <rgbColor rgb="FF808080"/>
      <rgbColor rgb="FF9999FF"/>
      <rgbColor rgb="FF993366"/>
      <rgbColor rgb="FFFFF2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EAEA"/>
      <rgbColor rgb="FFE2EFDA"/>
      <rgbColor rgb="FFFDE9D9"/>
      <rgbColor rgb="FFFBF3E7"/>
      <rgbColor rgb="FFFDF8F0"/>
      <rgbColor rgb="FFCC99FF"/>
      <rgbColor rgb="FFF4C68B"/>
      <rgbColor rgb="FF3366FF"/>
      <rgbColor rgb="FF33CCCC"/>
      <rgbColor rgb="FF99CC00"/>
      <rgbColor rgb="FFFFCC00"/>
      <rgbColor rgb="FFFF9900"/>
      <rgbColor rgb="FFC0521C"/>
      <rgbColor rgb="FF666699"/>
      <rgbColor rgb="FF999999"/>
      <rgbColor rgb="FF003366"/>
      <rgbColor rgb="FF339966"/>
      <rgbColor rgb="FF003300"/>
      <rgbColor rgb="FF333300"/>
      <rgbColor rgb="FF6B3A0F"/>
      <rgbColor rgb="FF993366"/>
      <rgbColor rgb="FF333399"/>
      <rgbColor rgb="FF4A4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22"/>
    <col collapsed="false" customWidth="true" hidden="false" outlineLevel="0" max="4" min="4" style="0" width="30"/>
    <col collapsed="false" customWidth="true" hidden="false" outlineLevel="0" max="5" min="5" style="0" width="22"/>
    <col collapsed="false" customWidth="true" hidden="false" outlineLevel="0" max="26" min="6" style="0" width="8.71"/>
  </cols>
  <sheetData>
    <row r="1" customFormat="false" ht="42" hidden="false" customHeight="true" outlineLevel="0" collapsed="false">
      <c r="A1" s="1" t="s">
        <v>0</v>
      </c>
      <c r="B1" s="1"/>
      <c r="C1" s="1"/>
      <c r="D1" s="1"/>
      <c r="E1" s="1"/>
    </row>
    <row r="2" customFormat="false" ht="21.75" hidden="false" customHeight="true" outlineLevel="0" collapsed="false">
      <c r="A2" s="2" t="s">
        <v>1</v>
      </c>
      <c r="B2" s="2"/>
      <c r="C2" s="2"/>
      <c r="D2" s="2"/>
      <c r="E2" s="2"/>
    </row>
    <row r="4" customFormat="false" ht="15.75" hidden="false" customHeight="true" outlineLevel="0" collapsed="false">
      <c r="B4" s="3" t="s">
        <v>2</v>
      </c>
      <c r="C4" s="3"/>
      <c r="D4" s="3" t="s">
        <v>3</v>
      </c>
      <c r="E4" s="3"/>
    </row>
    <row r="5" customFormat="false" ht="25.5" hidden="false" customHeight="true" outlineLevel="0" collapsed="false">
      <c r="B5" s="4" t="n">
        <f aca="false">SUMIFS(Ventas!$G$5:$G$49,Ventas!$I$5:$I$49,"Entregado")</f>
        <v>437700</v>
      </c>
      <c r="C5" s="4"/>
      <c r="D5" s="4" t="n">
        <f aca="false">SUM(Compras!$E$5:$E$44)</f>
        <v>390515</v>
      </c>
      <c r="E5" s="4"/>
    </row>
    <row r="7" customFormat="false" ht="15.75" hidden="false" customHeight="true" outlineLevel="0" collapsed="false">
      <c r="B7" s="3" t="s">
        <v>4</v>
      </c>
      <c r="C7" s="3"/>
      <c r="D7" s="3" t="s">
        <v>5</v>
      </c>
      <c r="E7" s="3"/>
    </row>
    <row r="8" customFormat="false" ht="25.5" hidden="false" customHeight="true" outlineLevel="0" collapsed="false">
      <c r="B8" s="4" t="n">
        <f aca="false">SUMIFS(Ventas!$G$5:$G$49,Ventas!$I$5:$I$49,"Entregado",Ventas!$H$5:$H$49,"Efectivo")</f>
        <v>131800</v>
      </c>
      <c r="C8" s="4"/>
      <c r="D8" s="4" t="n">
        <f aca="false">SUMIFS(Ventas!$G$5:$G$49,Ventas!$I$5:$I$49,"Entregado",Ventas!$H$5:$H$49,"Transferencia")</f>
        <v>294400</v>
      </c>
      <c r="E8" s="4"/>
    </row>
    <row r="10" customFormat="false" ht="15.75" hidden="false" customHeight="true" outlineLevel="0" collapsed="false">
      <c r="B10" s="3" t="s">
        <v>6</v>
      </c>
      <c r="C10" s="3"/>
      <c r="D10" s="3" t="s">
        <v>7</v>
      </c>
      <c r="E10" s="3"/>
    </row>
    <row r="11" customFormat="false" ht="25.5" hidden="false" customHeight="true" outlineLevel="0" collapsed="false">
      <c r="B11" s="4" t="n">
        <f aca="false">B5-D5</f>
        <v>47185</v>
      </c>
      <c r="C11" s="4"/>
      <c r="D11" s="5" t="n">
        <f aca="false">COUNTIFS(Ventas!$I$5:$I$49,"Pendiente")+COUNTIFS(Ventas!$I$5:$I$49,"Reservado")</f>
        <v>1</v>
      </c>
      <c r="E11" s="5"/>
    </row>
    <row r="13" customFormat="false" ht="15.75" hidden="false" customHeight="true" outlineLevel="0" collapsed="false">
      <c r="B13" s="3" t="s">
        <v>8</v>
      </c>
      <c r="C13" s="3"/>
      <c r="D13" s="3" t="s">
        <v>9</v>
      </c>
      <c r="E13" s="3"/>
    </row>
    <row r="14" customFormat="false" ht="25.5" hidden="false" customHeight="true" outlineLevel="0" collapsed="false">
      <c r="B14" s="5" t="n">
        <f aca="false">SUM(Produccion!G46:G51)</f>
        <v>27</v>
      </c>
      <c r="C14" s="5"/>
      <c r="D14" s="5" t="n">
        <f aca="false">COUNTIF(Stock!$H$5:$H$19,"BAJO")</f>
        <v>4</v>
      </c>
      <c r="E14" s="5"/>
    </row>
    <row r="16" customFormat="false" ht="15.75" hidden="false" customHeight="true" outlineLevel="0" collapsed="false">
      <c r="B16" s="3" t="s">
        <v>10</v>
      </c>
      <c r="C16" s="3"/>
      <c r="D16" s="6" t="s">
        <v>11</v>
      </c>
      <c r="E16" s="6"/>
    </row>
    <row r="17" customFormat="false" ht="25.5" hidden="false" customHeight="true" outlineLevel="0" collapsed="false">
      <c r="B17" s="7" t="n">
        <f aca="false">SUM(Produccion!D46:D51)</f>
        <v>-46.059</v>
      </c>
      <c r="C17" s="7"/>
      <c r="D17" s="8" t="n">
        <v>46220</v>
      </c>
      <c r="E17" s="8"/>
    </row>
    <row r="20" customFormat="false" ht="15" hidden="false" customHeight="false" outlineLevel="0" collapsed="false">
      <c r="B20" s="9" t="s">
        <v>12</v>
      </c>
      <c r="C20" s="9"/>
      <c r="D20" s="9"/>
      <c r="E20" s="9"/>
    </row>
    <row r="21" customFormat="false" ht="15.75" hidden="false" customHeight="true" outlineLevel="0" collapsed="false"/>
    <row r="22" customFormat="false" ht="15.75" hidden="false" customHeight="true" outlineLevel="0" collapsed="false">
      <c r="B22" s="10" t="s">
        <v>13</v>
      </c>
      <c r="C22" s="10"/>
      <c r="D22" s="10"/>
      <c r="E22" s="10"/>
    </row>
    <row r="23" customFormat="false" ht="15.75" hidden="false" customHeight="true" outlineLevel="0" collapsed="false">
      <c r="B23" s="11" t="s">
        <v>14</v>
      </c>
      <c r="C23" s="12" t="s">
        <v>15</v>
      </c>
      <c r="D23" s="12"/>
      <c r="E23" s="12"/>
    </row>
    <row r="24" customFormat="false" ht="15.75" hidden="false" customHeight="true" outlineLevel="0" collapsed="false">
      <c r="B24" s="11" t="s">
        <v>16</v>
      </c>
      <c r="C24" s="12" t="s">
        <v>17</v>
      </c>
      <c r="D24" s="12"/>
      <c r="E24" s="12"/>
    </row>
    <row r="25" customFormat="false" ht="15.75" hidden="false" customHeight="true" outlineLevel="0" collapsed="false">
      <c r="B25" s="11" t="s">
        <v>18</v>
      </c>
      <c r="C25" s="12" t="s">
        <v>19</v>
      </c>
      <c r="D25" s="12"/>
      <c r="E25" s="12"/>
    </row>
    <row r="26" customFormat="false" ht="15.75" hidden="false" customHeight="true" outlineLevel="0" collapsed="false">
      <c r="B26" s="11" t="s">
        <v>20</v>
      </c>
      <c r="C26" s="12" t="s">
        <v>21</v>
      </c>
      <c r="D26" s="12"/>
      <c r="E26" s="12"/>
    </row>
    <row r="27" customFormat="false" ht="15.75" hidden="false" customHeight="true" outlineLevel="0" collapsed="false">
      <c r="B27" s="11" t="s">
        <v>22</v>
      </c>
      <c r="C27" s="12" t="s">
        <v>23</v>
      </c>
      <c r="D27" s="12"/>
      <c r="E27" s="12"/>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9">
    <mergeCell ref="A1:E1"/>
    <mergeCell ref="A2:E2"/>
    <mergeCell ref="B4:C4"/>
    <mergeCell ref="D4:E4"/>
    <mergeCell ref="B5:C5"/>
    <mergeCell ref="D5:E5"/>
    <mergeCell ref="B7:C7"/>
    <mergeCell ref="D7:E7"/>
    <mergeCell ref="B8:C8"/>
    <mergeCell ref="D8:E8"/>
    <mergeCell ref="B10:C10"/>
    <mergeCell ref="D10:E10"/>
    <mergeCell ref="B11:C11"/>
    <mergeCell ref="D11:E11"/>
    <mergeCell ref="B13:C13"/>
    <mergeCell ref="D13:E13"/>
    <mergeCell ref="B14:C14"/>
    <mergeCell ref="D14:E14"/>
    <mergeCell ref="B16:C16"/>
    <mergeCell ref="D16:E16"/>
    <mergeCell ref="B17:C17"/>
    <mergeCell ref="D17:E17"/>
    <mergeCell ref="B20:E20"/>
    <mergeCell ref="B22:E22"/>
    <mergeCell ref="C23:E23"/>
    <mergeCell ref="C24:E24"/>
    <mergeCell ref="C25:E25"/>
    <mergeCell ref="C26:E26"/>
    <mergeCell ref="C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26"/>
    <col collapsed="false" customWidth="true" hidden="false" outlineLevel="0" max="4" min="2" style="0" width="16"/>
    <col collapsed="false" customWidth="true" hidden="false" outlineLevel="0" max="5" min="5" style="0" width="14"/>
    <col collapsed="false" customWidth="true" hidden="false" outlineLevel="0" max="6" min="6" style="0" width="34"/>
    <col collapsed="false" customWidth="true" hidden="false" outlineLevel="0" max="26" min="7" style="0" width="8.71"/>
  </cols>
  <sheetData>
    <row r="1" customFormat="false" ht="27.75" hidden="false" customHeight="true" outlineLevel="0" collapsed="false">
      <c r="A1" s="13" t="s">
        <v>24</v>
      </c>
      <c r="B1" s="13"/>
      <c r="C1" s="13"/>
      <c r="D1" s="13"/>
      <c r="E1" s="13"/>
      <c r="F1" s="13"/>
    </row>
    <row r="2" customFormat="false" ht="18" hidden="false" customHeight="true" outlineLevel="0" collapsed="false">
      <c r="A2" s="9" t="s">
        <v>25</v>
      </c>
      <c r="B2" s="9"/>
      <c r="C2" s="9"/>
      <c r="D2" s="9"/>
      <c r="E2" s="9"/>
      <c r="F2" s="9"/>
    </row>
    <row r="4" customFormat="false" ht="26.85" hidden="false" customHeight="false" outlineLevel="0" collapsed="false">
      <c r="A4" s="14" t="s">
        <v>26</v>
      </c>
      <c r="B4" s="14" t="s">
        <v>27</v>
      </c>
      <c r="C4" s="14" t="s">
        <v>28</v>
      </c>
      <c r="D4" s="14" t="s">
        <v>29</v>
      </c>
      <c r="E4" s="14" t="s">
        <v>30</v>
      </c>
      <c r="F4" s="14" t="s">
        <v>31</v>
      </c>
    </row>
    <row r="5" customFormat="false" ht="15" hidden="false" customHeight="false" outlineLevel="0" collapsed="false">
      <c r="A5" s="15" t="s">
        <v>32</v>
      </c>
      <c r="B5" s="15" t="s">
        <v>33</v>
      </c>
      <c r="C5" s="16" t="n">
        <v>9500</v>
      </c>
      <c r="D5" s="16" t="n">
        <v>4200</v>
      </c>
      <c r="E5" s="17" t="n">
        <f aca="false">IFERROR((C5-D5)/C5,"")</f>
        <v>0.557894736842105</v>
      </c>
      <c r="F5" s="15"/>
    </row>
    <row r="6" customFormat="false" ht="15" hidden="false" customHeight="false" outlineLevel="0" collapsed="false">
      <c r="A6" s="15"/>
      <c r="B6" s="15"/>
      <c r="C6" s="16"/>
      <c r="D6" s="16"/>
      <c r="E6" s="18" t="str">
        <f aca="false">IFERROR((C6-D6)/C6,"")</f>
        <v/>
      </c>
      <c r="F6" s="15"/>
    </row>
    <row r="7" customFormat="false" ht="15" hidden="false" customHeight="false" outlineLevel="0" collapsed="false">
      <c r="A7" s="15"/>
      <c r="B7" s="15"/>
      <c r="C7" s="16"/>
      <c r="D7" s="16"/>
      <c r="E7" s="17" t="str">
        <f aca="false">IFERROR((C7-D7)/C7,"")</f>
        <v/>
      </c>
      <c r="F7" s="15"/>
    </row>
    <row r="8" customFormat="false" ht="15" hidden="false" customHeight="false" outlineLevel="0" collapsed="false">
      <c r="A8" s="15"/>
      <c r="B8" s="15"/>
      <c r="C8" s="16"/>
      <c r="D8" s="16"/>
      <c r="E8" s="18" t="str">
        <f aca="false">IFERROR((C8-D8)/C8,"")</f>
        <v/>
      </c>
      <c r="F8" s="15"/>
    </row>
    <row r="9" customFormat="false" ht="15" hidden="false" customHeight="false" outlineLevel="0" collapsed="false">
      <c r="A9" s="15"/>
      <c r="B9" s="15"/>
      <c r="C9" s="16"/>
      <c r="D9" s="16"/>
      <c r="E9" s="17" t="str">
        <f aca="false">IFERROR((C9-D9)/C9,"")</f>
        <v/>
      </c>
      <c r="F9" s="15"/>
    </row>
    <row r="10" customFormat="false" ht="15" hidden="false" customHeight="false" outlineLevel="0" collapsed="false">
      <c r="A10" s="15"/>
      <c r="B10" s="15"/>
      <c r="C10" s="16"/>
      <c r="D10" s="16"/>
      <c r="E10" s="18" t="str">
        <f aca="false">IFERROR((C10-D10)/C10,"")</f>
        <v/>
      </c>
      <c r="F10" s="15"/>
    </row>
    <row r="12" customFormat="false" ht="15" hidden="false" customHeight="false" outlineLevel="0" collapsed="false">
      <c r="A12" s="9" t="s">
        <v>34</v>
      </c>
      <c r="B12" s="9"/>
      <c r="C12" s="9"/>
      <c r="D12" s="9"/>
      <c r="E12" s="9"/>
      <c r="F12" s="9"/>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1:F1"/>
    <mergeCell ref="A2:F2"/>
    <mergeCell ref="A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5" min="3" style="0" width="13"/>
    <col collapsed="false" customWidth="true" hidden="false" outlineLevel="0" max="6" min="6" style="0" width="14"/>
    <col collapsed="false" customWidth="true" hidden="false" outlineLevel="0" max="7" min="7" style="0" width="13"/>
    <col collapsed="false" customWidth="true" hidden="false" outlineLevel="0" max="8" min="8" style="0" width="12"/>
    <col collapsed="false" customWidth="true" hidden="false" outlineLevel="0" max="9" min="9" style="0" width="14"/>
    <col collapsed="false" customWidth="true" hidden="false" outlineLevel="0" max="10" min="10" style="0" width="15"/>
    <col collapsed="false" customWidth="true" hidden="false" outlineLevel="0" max="26" min="11" style="0" width="8.71"/>
  </cols>
  <sheetData>
    <row r="1" customFormat="false" ht="27.75" hidden="false" customHeight="true" outlineLevel="0" collapsed="false">
      <c r="A1" s="13" t="s">
        <v>35</v>
      </c>
      <c r="B1" s="13"/>
      <c r="C1" s="13"/>
      <c r="D1" s="13"/>
      <c r="E1" s="13"/>
      <c r="F1" s="13"/>
      <c r="G1" s="13"/>
      <c r="H1" s="13"/>
      <c r="I1" s="13"/>
      <c r="J1" s="13"/>
    </row>
    <row r="2" customFormat="false" ht="25.5" hidden="false" customHeight="true" outlineLevel="0" collapsed="false">
      <c r="A2" s="9" t="s">
        <v>36</v>
      </c>
      <c r="B2" s="9"/>
      <c r="C2" s="9"/>
      <c r="D2" s="9"/>
      <c r="E2" s="9"/>
      <c r="F2" s="9"/>
      <c r="G2" s="9"/>
      <c r="H2" s="9"/>
      <c r="I2" s="9"/>
      <c r="J2" s="9"/>
    </row>
    <row r="4" customFormat="false" ht="52.2" hidden="false" customHeight="false" outlineLevel="0" collapsed="false">
      <c r="A4" s="14" t="s">
        <v>37</v>
      </c>
      <c r="B4" s="14" t="s">
        <v>27</v>
      </c>
      <c r="C4" s="14" t="s">
        <v>38</v>
      </c>
      <c r="D4" s="14" t="s">
        <v>39</v>
      </c>
      <c r="E4" s="14" t="s">
        <v>40</v>
      </c>
      <c r="F4" s="14" t="s">
        <v>41</v>
      </c>
      <c r="G4" s="14" t="s">
        <v>42</v>
      </c>
      <c r="H4" s="14" t="s">
        <v>43</v>
      </c>
      <c r="I4" s="14" t="s">
        <v>44</v>
      </c>
      <c r="J4" s="14" t="s">
        <v>45</v>
      </c>
    </row>
    <row r="5" customFormat="false" ht="15" hidden="false" customHeight="false" outlineLevel="0" collapsed="false">
      <c r="A5" s="15" t="s">
        <v>46</v>
      </c>
      <c r="B5" s="15" t="s">
        <v>33</v>
      </c>
      <c r="C5" s="15" t="n">
        <v>15</v>
      </c>
      <c r="D5" s="19" t="n">
        <f aca="false">IFERROR(SUMIFS(Compras!$C$5:$C$44,Compras!$B$5:$B$44,A5,Compras!$H$5:$H$44,"Sí"),0)</f>
        <v>0</v>
      </c>
      <c r="E5" s="19" t="n">
        <f aca="false">IFERROR(SUMIF(Produccion!$D$6:$D$39,"Sí",Produccion!$E$6:$E$39),0)</f>
        <v>15</v>
      </c>
      <c r="F5" s="19" t="n">
        <f aca="false">IF(A5="","",IFERROR(C5+D5-E5,""))</f>
        <v>0</v>
      </c>
      <c r="G5" s="15" t="n">
        <v>15</v>
      </c>
      <c r="H5" s="20" t="str">
        <f aca="false">IF(F5="","",IF(F5&lt;G5,"BAJO","OK"))</f>
        <v>BAJO</v>
      </c>
      <c r="I5" s="16" t="n">
        <v>7900</v>
      </c>
      <c r="J5" s="21" t="n">
        <f aca="false">IFERROR(F5*I5,"")</f>
        <v>0</v>
      </c>
    </row>
    <row r="6" customFormat="false" ht="15" hidden="false" customHeight="false" outlineLevel="0" collapsed="false">
      <c r="A6" s="15" t="s">
        <v>47</v>
      </c>
      <c r="B6" s="15" t="s">
        <v>33</v>
      </c>
      <c r="C6" s="15" t="n">
        <v>25</v>
      </c>
      <c r="D6" s="19" t="n">
        <f aca="false">IFERROR(SUMIFS(Compras!$C$5:$C$44,Compras!$B$5:$B$44,A6,Compras!$H$5:$H$44,"Sí"),0)</f>
        <v>0</v>
      </c>
      <c r="E6" s="19" t="n">
        <f aca="false">IFERROR(SUMIF(Produccion!$D$6:$D$39,"Sí",Produccion!$F$6:$F$39),0)</f>
        <v>10</v>
      </c>
      <c r="F6" s="19" t="n">
        <f aca="false">IF(A6="","",IFERROR(C6+D6-E6,""))</f>
        <v>15</v>
      </c>
      <c r="G6" s="15" t="n">
        <v>12</v>
      </c>
      <c r="H6" s="22" t="str">
        <f aca="false">IF(F6="","",IF(F6&lt;G6,"BAJO","OK"))</f>
        <v>OK</v>
      </c>
      <c r="I6" s="16" t="n">
        <v>1512</v>
      </c>
      <c r="J6" s="23" t="n">
        <f aca="false">IFERROR(F6*I6,"")</f>
        <v>22680</v>
      </c>
    </row>
    <row r="7" customFormat="false" ht="15" hidden="false" customHeight="false" outlineLevel="0" collapsed="false">
      <c r="A7" s="15" t="s">
        <v>48</v>
      </c>
      <c r="B7" s="15" t="s">
        <v>49</v>
      </c>
      <c r="C7" s="15" t="n">
        <v>12</v>
      </c>
      <c r="D7" s="19" t="n">
        <f aca="false">IFERROR(SUMIFS(Compras!$C$5:$C$44,Compras!$B$5:$B$44,A7,Compras!$H$5:$H$44,"Sí"),0)</f>
        <v>0</v>
      </c>
      <c r="E7" s="19" t="n">
        <f aca="false">IFERROR(SUMIF(Produccion!$D$6:$D$39,"Sí",Produccion!$G$6:$G$39),0)</f>
        <v>22</v>
      </c>
      <c r="F7" s="19" t="n">
        <f aca="false">IF(A7="","",IFERROR(C7+D7-E7,""))</f>
        <v>-10</v>
      </c>
      <c r="G7" s="15" t="n">
        <v>30</v>
      </c>
      <c r="H7" s="20" t="str">
        <f aca="false">IF(F7="","",IF(F7&lt;G7,"BAJO","OK"))</f>
        <v>BAJO</v>
      </c>
      <c r="I7" s="16" t="n">
        <v>192</v>
      </c>
      <c r="J7" s="21" t="n">
        <f aca="false">IFERROR(F7*I7,"")</f>
        <v>-1920</v>
      </c>
    </row>
    <row r="8" customFormat="false" ht="15" hidden="false" customHeight="false" outlineLevel="0" collapsed="false">
      <c r="A8" s="15" t="s">
        <v>50</v>
      </c>
      <c r="B8" s="15" t="s">
        <v>51</v>
      </c>
      <c r="C8" s="15" t="n">
        <v>300</v>
      </c>
      <c r="D8" s="19" t="n">
        <f aca="false">IFERROR(SUMIFS(Compras!$C$5:$C$44,Compras!$B$5:$B$44,A8,Compras!$H$5:$H$44,"Sí"),0)</f>
        <v>0</v>
      </c>
      <c r="E8" s="19" t="n">
        <f aca="false">IFERROR(SUMIF(Produccion!$D$6:$D$39,"Sí",Produccion!$H$6:$H$39),0)</f>
        <v>165</v>
      </c>
      <c r="F8" s="19" t="n">
        <f aca="false">IF(A8="","",IFERROR(C8+D8-E8,""))</f>
        <v>135</v>
      </c>
      <c r="G8" s="15" t="n">
        <v>150</v>
      </c>
      <c r="H8" s="22" t="str">
        <f aca="false">IF(F8="","",IF(F8&lt;G8,"BAJO","OK"))</f>
        <v>BAJO</v>
      </c>
      <c r="I8" s="16" t="n">
        <v>2.4</v>
      </c>
      <c r="J8" s="23" t="n">
        <f aca="false">IFERROR(F8*I8,"")</f>
        <v>324</v>
      </c>
    </row>
    <row r="9" customFormat="false" ht="15" hidden="false" customHeight="false" outlineLevel="0" collapsed="false">
      <c r="A9" s="15" t="s">
        <v>52</v>
      </c>
      <c r="B9" s="15" t="s">
        <v>51</v>
      </c>
      <c r="C9" s="15" t="n">
        <v>600</v>
      </c>
      <c r="D9" s="19" t="n">
        <f aca="false">IFERROR(SUMIFS(Compras!$C$5:$C$44,Compras!$B$5:$B$44,A9,Compras!$H$5:$H$44,"Sí"),0)</f>
        <v>0</v>
      </c>
      <c r="E9" s="19" t="n">
        <f aca="false">IFERROR(SUMIF(Produccion!$D$6:$D$39,"Sí",Produccion!$I$6:$I$39),0)</f>
        <v>125</v>
      </c>
      <c r="F9" s="19" t="n">
        <f aca="false">IF(A9="","",IFERROR(C9+D9-E9,""))</f>
        <v>475</v>
      </c>
      <c r="G9" s="15" t="n">
        <v>300</v>
      </c>
      <c r="H9" s="20" t="str">
        <f aca="false">IF(F9="","",IF(F9&lt;G9,"BAJO","OK"))</f>
        <v>OK</v>
      </c>
      <c r="I9" s="16" t="n">
        <v>7.5</v>
      </c>
      <c r="J9" s="21" t="n">
        <f aca="false">IFERROR(F9*I9,"")</f>
        <v>3562.5</v>
      </c>
    </row>
    <row r="10" customFormat="false" ht="15" hidden="false" customHeight="false" outlineLevel="0" collapsed="false">
      <c r="A10" s="15" t="s">
        <v>53</v>
      </c>
      <c r="B10" s="15" t="s">
        <v>51</v>
      </c>
      <c r="C10" s="15" t="n">
        <v>840</v>
      </c>
      <c r="D10" s="19" t="n">
        <f aca="false">IFERROR(SUMIFS(Compras!$C$5:$C$44,Compras!$B$5:$B$44,A10,Compras!$H$5:$H$44,"Sí"),0)</f>
        <v>0</v>
      </c>
      <c r="E10" s="19" t="n">
        <f aca="false">IFERROR(SUMIF(Produccion!$D$6:$D$39,"Sí",Produccion!$J$6:$J$39),0)</f>
        <v>300</v>
      </c>
      <c r="F10" s="19" t="n">
        <f aca="false">IF(A10="","",IFERROR(C10+D10-E10,""))</f>
        <v>540</v>
      </c>
      <c r="G10" s="15" t="n">
        <v>160</v>
      </c>
      <c r="H10" s="22" t="str">
        <f aca="false">IF(F10="","",IF(F10&lt;G10,"BAJO","OK"))</f>
        <v>OK</v>
      </c>
      <c r="I10" s="16" t="n">
        <v>7.8</v>
      </c>
      <c r="J10" s="23" t="n">
        <f aca="false">IFERROR(F10*I10,"")</f>
        <v>4212</v>
      </c>
    </row>
    <row r="11" customFormat="false" ht="15" hidden="false" customHeight="false" outlineLevel="0" collapsed="false">
      <c r="A11" s="15" t="s">
        <v>54</v>
      </c>
      <c r="B11" s="15" t="s">
        <v>27</v>
      </c>
      <c r="C11" s="15" t="n">
        <v>100</v>
      </c>
      <c r="D11" s="19" t="n">
        <f aca="false">IFERROR(SUMIFS(Compras!$C$5:$C$44,Compras!$B$5:$B$44,A11,Compras!$H$5:$H$44,"Sí"),0)</f>
        <v>0</v>
      </c>
      <c r="E11" s="19" t="n">
        <f aca="false">IFERROR(SUMIF(Produccion!$D$6:$D$39,"Sí",Produccion!$K$6:$K$39),0)</f>
        <v>24</v>
      </c>
      <c r="F11" s="19" t="n">
        <f aca="false">IF(A11="","",IFERROR(C11+D11-E11,""))</f>
        <v>76</v>
      </c>
      <c r="G11" s="15" t="n">
        <v>30</v>
      </c>
      <c r="H11" s="20" t="str">
        <f aca="false">IF(F11="","",IF(F11&lt;G11,"BAJO","OK"))</f>
        <v>OK</v>
      </c>
      <c r="I11" s="16" t="n">
        <v>35.58</v>
      </c>
      <c r="J11" s="21" t="n">
        <f aca="false">IFERROR(F11*I11,"")</f>
        <v>2704.08</v>
      </c>
    </row>
    <row r="12" customFormat="false" ht="15" hidden="false" customHeight="false" outlineLevel="0" collapsed="false">
      <c r="A12" s="15" t="s">
        <v>55</v>
      </c>
      <c r="B12" s="15" t="s">
        <v>27</v>
      </c>
      <c r="C12" s="15" t="n">
        <v>300</v>
      </c>
      <c r="D12" s="19" t="n">
        <f aca="false">IFERROR(SUMIFS(Compras!$C$5:$C$44,Compras!$B$5:$B$44,A12,Compras!$H$5:$H$44,"Sí"),0)</f>
        <v>0</v>
      </c>
      <c r="E12" s="19" t="n">
        <f aca="false">IFERROR(SUMIF(Produccion!$D$6:$D$39,"Sí",Produccion!$L$6:$L$39),0)</f>
        <v>24</v>
      </c>
      <c r="F12" s="19" t="n">
        <f aca="false">IF(A12="","",IFERROR(C12+D12-E12,""))</f>
        <v>276</v>
      </c>
      <c r="G12" s="15" t="n">
        <v>30</v>
      </c>
      <c r="H12" s="22" t="str">
        <f aca="false">IF(F12="","",IF(F12&lt;G12,"BAJO","OK"))</f>
        <v>OK</v>
      </c>
      <c r="I12" s="16" t="n">
        <v>24.13</v>
      </c>
      <c r="J12" s="23" t="n">
        <f aca="false">IFERROR(F12*I12,"")</f>
        <v>6659.88</v>
      </c>
    </row>
    <row r="13" customFormat="false" ht="15" hidden="false" customHeight="false" outlineLevel="0" collapsed="false">
      <c r="A13" s="15" t="s">
        <v>56</v>
      </c>
      <c r="B13" s="15" t="s">
        <v>49</v>
      </c>
      <c r="C13" s="15" t="n">
        <v>810</v>
      </c>
      <c r="D13" s="19" t="n">
        <f aca="false">IFERROR(SUMIFS(Compras!$C$5:$C$44,Compras!$B$5:$B$44,A13,Compras!$H$5:$H$44,"Sí"),0)</f>
        <v>0</v>
      </c>
      <c r="E13" s="19" t="n">
        <f aca="false">IFERROR(SUMIF(Produccion!$D$6:$D$39,"Sí",Produccion!$M$6:$M$39),0)</f>
        <v>120</v>
      </c>
      <c r="F13" s="19" t="n">
        <f aca="false">IF(A13="","",IFERROR(C13+D13-E13,""))</f>
        <v>690</v>
      </c>
      <c r="G13" s="15" t="n">
        <v>90</v>
      </c>
      <c r="H13" s="20" t="str">
        <f aca="false">IF(F13="","",IF(F13&lt;G13,"BAJO","OK"))</f>
        <v>OK</v>
      </c>
      <c r="I13" s="16" t="n">
        <v>12</v>
      </c>
      <c r="J13" s="21" t="n">
        <f aca="false">IFERROR(F13*I13,"")</f>
        <v>8280</v>
      </c>
    </row>
    <row r="14" customFormat="false" ht="15" hidden="false" customHeight="false" outlineLevel="0" collapsed="false">
      <c r="A14" s="15" t="s">
        <v>57</v>
      </c>
      <c r="B14" s="15" t="s">
        <v>49</v>
      </c>
      <c r="C14" s="15" t="n">
        <v>4</v>
      </c>
      <c r="D14" s="19" t="n">
        <f aca="false">IFERROR(SUMIFS(Compras!$C$5:$C$44,Compras!$B$5:$B$44,A14,Compras!$H$5:$H$44,"Sí"),0)</f>
        <v>0</v>
      </c>
      <c r="E14" s="19" t="n">
        <f aca="false">IFERROR(SUMIF(Produccion!$D$6:$D$39,"Sí",Produccion!$N$6:$N$39),0)</f>
        <v>1</v>
      </c>
      <c r="F14" s="19" t="n">
        <f aca="false">IF(A14="","",IFERROR(C14+D14-E14,""))</f>
        <v>3</v>
      </c>
      <c r="G14" s="15" t="n">
        <v>2</v>
      </c>
      <c r="H14" s="22" t="str">
        <f aca="false">IF(F14="","",IF(F14&lt;G14,"BAJO","OK"))</f>
        <v>OK</v>
      </c>
      <c r="I14" s="16" t="n">
        <v>400</v>
      </c>
      <c r="J14" s="23" t="n">
        <f aca="false">IFERROR(F14*I14,"")</f>
        <v>1200</v>
      </c>
    </row>
    <row r="15" customFormat="false" ht="15" hidden="false" customHeight="false" outlineLevel="0" collapsed="false">
      <c r="A15" s="15" t="s">
        <v>58</v>
      </c>
      <c r="B15" s="15" t="s">
        <v>49</v>
      </c>
      <c r="C15" s="15" t="n">
        <v>190</v>
      </c>
      <c r="D15" s="19" t="n">
        <f aca="false">IFERROR(SUMIFS(Compras!$C$5:$C$44,Compras!$B$5:$B$44,A15,Compras!$H$5:$H$44,"Sí"),0)</f>
        <v>0</v>
      </c>
      <c r="E15" s="19" t="n">
        <f aca="false">IFERROR(SUMIF(Produccion!$D$6:$D$39,"Sí",Produccion!$O$6:$O$39),0)</f>
        <v>2</v>
      </c>
      <c r="F15" s="19" t="n">
        <f aca="false">IF(A15="","",IFERROR(C15+D15-E15,""))</f>
        <v>188</v>
      </c>
      <c r="G15" s="15" t="n">
        <v>12</v>
      </c>
      <c r="H15" s="20" t="str">
        <f aca="false">IF(F15="","",IF(F15&lt;G15,"BAJO","OK"))</f>
        <v>OK</v>
      </c>
      <c r="I15" s="16" t="n">
        <v>106</v>
      </c>
      <c r="J15" s="21" t="n">
        <f aca="false">IFERROR(F15*I15,"")</f>
        <v>19928</v>
      </c>
    </row>
    <row r="16" customFormat="false" ht="15" hidden="false" customHeight="false" outlineLevel="0" collapsed="false">
      <c r="A16" s="15" t="s">
        <v>59</v>
      </c>
      <c r="B16" s="15"/>
      <c r="C16" s="15"/>
      <c r="D16" s="19" t="n">
        <f aca="false">IFERROR(SUMIFS(Compras!$C$5:$C$44,Compras!$B$5:$B$44,A16,Compras!$H$5:$H$44,"Sí"),0)</f>
        <v>0</v>
      </c>
      <c r="E16" s="19" t="n">
        <f aca="false">IFERROR(SUMIF(Produccion!$D$6:$D$39,"Sí",Produccion!$P$6:$P$39),0)</f>
        <v>24</v>
      </c>
      <c r="F16" s="19" t="n">
        <f aca="false">IF(A16="","",IFERROR(C16+D16-E16,""))</f>
        <v>-24</v>
      </c>
      <c r="G16" s="15"/>
      <c r="H16" s="22" t="str">
        <f aca="false">IF(F16="","",IF(F16&lt;G16,"BAJO","OK"))</f>
        <v>BAJO</v>
      </c>
      <c r="I16" s="16"/>
      <c r="J16" s="23" t="n">
        <f aca="false">IFERROR(F16*I16,"")</f>
        <v>-0</v>
      </c>
    </row>
    <row r="17" customFormat="false" ht="15" hidden="false" customHeight="false" outlineLevel="0" collapsed="false">
      <c r="A17" s="15"/>
      <c r="B17" s="15"/>
      <c r="C17" s="15"/>
      <c r="D17" s="19" t="n">
        <f aca="false">IFERROR(SUMIFS(Compras!$C$5:$C$44,Compras!$B$5:$B$44,A17,Compras!$H$5:$H$44,"Sí"),0)</f>
        <v>0</v>
      </c>
      <c r="E17" s="19" t="n">
        <f aca="false">IFERROR(SUMIF(Produccion!$D$6:$D$39,"Sí",Produccion!$Q$6:$Q$39),0)</f>
        <v>0</v>
      </c>
      <c r="F17" s="19" t="str">
        <f aca="false">IF(A17="","",IFERROR(C17+D17-E17,""))</f>
        <v/>
      </c>
      <c r="G17" s="15"/>
      <c r="H17" s="20" t="str">
        <f aca="false">IF(F17="","",IF(F17&lt;G17,"BAJO","OK"))</f>
        <v/>
      </c>
      <c r="I17" s="16"/>
      <c r="J17" s="21" t="str">
        <f aca="false">IFERROR(F17*I17,"")</f>
        <v/>
      </c>
    </row>
    <row r="18" customFormat="false" ht="15" hidden="false" customHeight="false" outlineLevel="0" collapsed="false">
      <c r="A18" s="15"/>
      <c r="B18" s="15"/>
      <c r="C18" s="15"/>
      <c r="D18" s="19" t="n">
        <f aca="false">IFERROR(SUMIFS(Compras!$C$5:$C$44,Compras!$B$5:$B$44,A18,Compras!$H$5:$H$44,"Sí"),0)</f>
        <v>0</v>
      </c>
      <c r="E18" s="19" t="n">
        <f aca="false">IFERROR(SUMIF(Produccion!$D$6:$D$39,"Sí",Produccion!$R$6:$R$39),0)</f>
        <v>0</v>
      </c>
      <c r="F18" s="19" t="str">
        <f aca="false">IF(A18="","",IFERROR(C18+D18-E18,""))</f>
        <v/>
      </c>
      <c r="G18" s="15"/>
      <c r="H18" s="22" t="str">
        <f aca="false">IF(F18="","",IF(F18&lt;G18,"BAJO","OK"))</f>
        <v/>
      </c>
      <c r="I18" s="16"/>
      <c r="J18" s="23" t="str">
        <f aca="false">IFERROR(F18*I18,"")</f>
        <v/>
      </c>
    </row>
    <row r="19" customFormat="false" ht="15" hidden="false" customHeight="false" outlineLevel="0" collapsed="false">
      <c r="A19" s="15"/>
      <c r="B19" s="15"/>
      <c r="C19" s="15"/>
      <c r="D19" s="19" t="n">
        <f aca="false">IFERROR(SUMIFS(Compras!$C$5:$C$44,Compras!$B$5:$B$44,A19,Compras!$H$5:$H$44,"Sí"),0)</f>
        <v>0</v>
      </c>
      <c r="E19" s="19" t="n">
        <f aca="false">IFERROR(SUMIF(Produccion!$D$6:$D$39,"Sí",Produccion!$S$6:$S$39),0)</f>
        <v>0</v>
      </c>
      <c r="F19" s="19" t="str">
        <f aca="false">IF(A19="","",IFERROR(C19+D19-E19,""))</f>
        <v/>
      </c>
      <c r="G19" s="15"/>
      <c r="H19" s="20" t="str">
        <f aca="false">IF(F19="","",IF(F19&lt;G19,"BAJO","OK"))</f>
        <v/>
      </c>
      <c r="I19" s="16"/>
      <c r="J19" s="21" t="str">
        <f aca="false">IFERROR(F19*I19,"")</f>
        <v/>
      </c>
    </row>
    <row r="21" customFormat="false" ht="15.75" hidden="false" customHeight="true" outlineLevel="0" collapsed="false">
      <c r="A21" s="9" t="s">
        <v>60</v>
      </c>
      <c r="B21" s="9"/>
      <c r="C21" s="9"/>
      <c r="D21" s="9"/>
      <c r="E21" s="9"/>
      <c r="F21" s="9"/>
      <c r="G21" s="9"/>
      <c r="H21" s="9"/>
      <c r="I21" s="9"/>
      <c r="J21" s="9"/>
    </row>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1:J1"/>
    <mergeCell ref="A2:J2"/>
    <mergeCell ref="A21:J21"/>
  </mergeCells>
  <conditionalFormatting sqref="H5:H19">
    <cfRule type="expression" priority="2" aboveAverage="0" equalAverage="0" bottom="0" percent="0" rank="0" text="" dxfId="0">
      <formula>H5="BAJO"</formula>
    </cfRule>
    <cfRule type="expression" priority="3" aboveAverage="0" equalAverage="0" bottom="0" percent="0" rank="0" text="" dxfId="1">
      <formula>H5="OK"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22"/>
    <col collapsed="false" customWidth="true" hidden="false" outlineLevel="0" max="4" min="4" style="0" width="11"/>
    <col collapsed="false" customWidth="true" hidden="false" outlineLevel="0" max="5" min="5" style="0" width="12"/>
    <col collapsed="false" customWidth="true" hidden="false" outlineLevel="0" max="6" min="6" style="0" width="14"/>
    <col collapsed="false" customWidth="true" hidden="false" outlineLevel="0" max="8" min="7" style="0" width="15"/>
    <col collapsed="false" customWidth="true" hidden="false" outlineLevel="0" max="9" min="9" style="0" width="13"/>
    <col collapsed="false" customWidth="true" hidden="false" outlineLevel="0" max="10" min="10" style="0" width="24"/>
    <col collapsed="false" customWidth="true" hidden="false" outlineLevel="0" max="26" min="11" style="0" width="8.71"/>
  </cols>
  <sheetData>
    <row r="1" customFormat="false" ht="27.75" hidden="false" customHeight="true" outlineLevel="0" collapsed="false">
      <c r="A1" s="13" t="s">
        <v>61</v>
      </c>
      <c r="B1" s="13"/>
      <c r="C1" s="13"/>
      <c r="D1" s="13"/>
      <c r="E1" s="13"/>
      <c r="F1" s="13"/>
      <c r="G1" s="13"/>
      <c r="H1" s="13"/>
      <c r="I1" s="13"/>
      <c r="J1" s="13"/>
    </row>
    <row r="2" customFormat="false" ht="30" hidden="false" customHeight="true" outlineLevel="0" collapsed="false">
      <c r="A2" s="9" t="s">
        <v>62</v>
      </c>
      <c r="B2" s="9"/>
      <c r="C2" s="9"/>
      <c r="D2" s="9"/>
      <c r="E2" s="9"/>
      <c r="F2" s="9"/>
      <c r="G2" s="9"/>
      <c r="H2" s="9"/>
      <c r="I2" s="9"/>
      <c r="J2" s="9"/>
    </row>
    <row r="4" customFormat="false" ht="26.85" hidden="false" customHeight="false" outlineLevel="0" collapsed="false">
      <c r="A4" s="14" t="s">
        <v>63</v>
      </c>
      <c r="B4" s="14" t="s">
        <v>64</v>
      </c>
      <c r="C4" s="14" t="s">
        <v>26</v>
      </c>
      <c r="D4" s="14" t="s">
        <v>65</v>
      </c>
      <c r="E4" s="14" t="s">
        <v>66</v>
      </c>
      <c r="F4" s="14" t="s">
        <v>67</v>
      </c>
      <c r="G4" s="14" t="s">
        <v>68</v>
      </c>
      <c r="H4" s="14" t="s">
        <v>69</v>
      </c>
      <c r="I4" s="14" t="s">
        <v>43</v>
      </c>
      <c r="J4" s="14" t="s">
        <v>31</v>
      </c>
    </row>
    <row r="5" customFormat="false" ht="15" hidden="false" customHeight="false" outlineLevel="0" collapsed="false">
      <c r="A5" s="24" t="n">
        <v>46217</v>
      </c>
      <c r="B5" s="15" t="s">
        <v>70</v>
      </c>
      <c r="C5" s="15" t="s">
        <v>32</v>
      </c>
      <c r="D5" s="15" t="n">
        <v>2.23</v>
      </c>
      <c r="E5" s="21" t="n">
        <f aca="false" t="array" ref="E5:E5">IFERROR(INDEX(Productos!$C$5:$C$10,MATCH(C5,Productos!$A$5:$A$10,0)),"")</f>
        <v>9500</v>
      </c>
      <c r="F5" s="21" t="n">
        <f aca="false">IF(D5="","",IFERROR(D5*E5,""))</f>
        <v>21185</v>
      </c>
      <c r="G5" s="21" t="n">
        <f aca="false">IF(F5="","",IFERROR(ROUND(F5/100,0)*100,""))</f>
        <v>21200</v>
      </c>
      <c r="H5" s="15" t="s">
        <v>71</v>
      </c>
      <c r="I5" s="15" t="s">
        <v>72</v>
      </c>
      <c r="J5" s="15"/>
    </row>
    <row r="6" customFormat="false" ht="15" hidden="false" customHeight="false" outlineLevel="0" collapsed="false">
      <c r="A6" s="24" t="n">
        <v>46217</v>
      </c>
      <c r="B6" s="15" t="s">
        <v>73</v>
      </c>
      <c r="C6" s="15" t="s">
        <v>32</v>
      </c>
      <c r="D6" s="15" t="n">
        <v>2.136</v>
      </c>
      <c r="E6" s="23" t="n">
        <f aca="false" t="array" ref="E6:E6">IFERROR(INDEX(Productos!$C$5:$C$10,MATCH(C6,Productos!$A$5:$A$10,0)),"")</f>
        <v>9500</v>
      </c>
      <c r="F6" s="23" t="n">
        <f aca="false">IF(D6="","",IFERROR(D6*E6,""))</f>
        <v>20292</v>
      </c>
      <c r="G6" s="23" t="n">
        <f aca="false">IF(F6="","",IFERROR(ROUND(F6/100,0)*100,""))</f>
        <v>20300</v>
      </c>
      <c r="H6" s="15" t="s">
        <v>71</v>
      </c>
      <c r="I6" s="15" t="s">
        <v>72</v>
      </c>
      <c r="J6" s="15"/>
    </row>
    <row r="7" customFormat="false" ht="15" hidden="false" customHeight="false" outlineLevel="0" collapsed="false">
      <c r="A7" s="24" t="n">
        <v>46217</v>
      </c>
      <c r="B7" s="15" t="s">
        <v>74</v>
      </c>
      <c r="C7" s="15" t="s">
        <v>32</v>
      </c>
      <c r="D7" s="15" t="n">
        <v>1.115</v>
      </c>
      <c r="E7" s="21" t="n">
        <f aca="false" t="array" ref="E7:E7">IFERROR(INDEX(Productos!$C$5:$C$10,MATCH(C7,Productos!$A$5:$A$10,0)),"")</f>
        <v>9500</v>
      </c>
      <c r="F7" s="21" t="n">
        <f aca="false">IF(D7="","",IFERROR(D7*E7,""))</f>
        <v>10592.5</v>
      </c>
      <c r="G7" s="21" t="n">
        <f aca="false">IF(F7="","",IFERROR(ROUND(F7/100,0)*100,""))</f>
        <v>10600</v>
      </c>
      <c r="H7" s="15" t="s">
        <v>71</v>
      </c>
      <c r="I7" s="15" t="s">
        <v>72</v>
      </c>
      <c r="J7" s="15"/>
    </row>
    <row r="8" customFormat="false" ht="15" hidden="false" customHeight="false" outlineLevel="0" collapsed="false">
      <c r="A8" s="24" t="n">
        <v>46217</v>
      </c>
      <c r="B8" s="15" t="s">
        <v>75</v>
      </c>
      <c r="C8" s="15" t="s">
        <v>32</v>
      </c>
      <c r="D8" s="15" t="n">
        <v>1.07</v>
      </c>
      <c r="E8" s="23" t="n">
        <f aca="false" t="array" ref="E8:E8">IFERROR(INDEX(Productos!$C$5:$C$10,MATCH(C8,Productos!$A$5:$A$10,0)),"")</f>
        <v>9500</v>
      </c>
      <c r="F8" s="23" t="n">
        <f aca="false">IF(D8="","",IFERROR(D8*E8,""))</f>
        <v>10165</v>
      </c>
      <c r="G8" s="23" t="n">
        <f aca="false">IF(F8="","",IFERROR(ROUND(F8/100,0)*100,""))</f>
        <v>10200</v>
      </c>
      <c r="H8" s="15" t="s">
        <v>71</v>
      </c>
      <c r="I8" s="15" t="s">
        <v>72</v>
      </c>
      <c r="J8" s="15"/>
    </row>
    <row r="9" customFormat="false" ht="15" hidden="false" customHeight="false" outlineLevel="0" collapsed="false">
      <c r="A9" s="24" t="n">
        <v>46217</v>
      </c>
      <c r="B9" s="15" t="s">
        <v>76</v>
      </c>
      <c r="C9" s="15" t="s">
        <v>32</v>
      </c>
      <c r="D9" s="15" t="n">
        <v>1.05</v>
      </c>
      <c r="E9" s="21" t="n">
        <f aca="false" t="array" ref="E9:E9">IFERROR(INDEX(Productos!$C$5:$C$10,MATCH(C9,Productos!$A$5:$A$10,0)),"")</f>
        <v>9500</v>
      </c>
      <c r="F9" s="21" t="n">
        <f aca="false">IF(D9="","",IFERROR(D9*E9,""))</f>
        <v>9975</v>
      </c>
      <c r="G9" s="21" t="n">
        <f aca="false">IF(F9="","",IFERROR(ROUND(F9/100,0)*100,""))</f>
        <v>10000</v>
      </c>
      <c r="H9" s="15" t="s">
        <v>77</v>
      </c>
      <c r="I9" s="15" t="s">
        <v>72</v>
      </c>
      <c r="J9" s="15"/>
    </row>
    <row r="10" customFormat="false" ht="15" hidden="false" customHeight="false" outlineLevel="0" collapsed="false">
      <c r="A10" s="24" t="n">
        <v>46217</v>
      </c>
      <c r="B10" s="15" t="s">
        <v>78</v>
      </c>
      <c r="C10" s="15" t="s">
        <v>32</v>
      </c>
      <c r="D10" s="15" t="n">
        <v>1.105</v>
      </c>
      <c r="E10" s="23" t="n">
        <f aca="false" t="array" ref="E10:E10">IFERROR(INDEX(Productos!$C$5:$C$10,MATCH(C10,Productos!$A$5:$A$10,0)),"")</f>
        <v>9500</v>
      </c>
      <c r="F10" s="23" t="n">
        <f aca="false">IF(D10="","",IFERROR(D10*E10,""))</f>
        <v>10497.5</v>
      </c>
      <c r="G10" s="23" t="n">
        <f aca="false">IF(F10="","",IFERROR(ROUND(F10/100,0)*100,""))</f>
        <v>10500</v>
      </c>
      <c r="H10" s="15" t="s">
        <v>77</v>
      </c>
      <c r="I10" s="15" t="s">
        <v>72</v>
      </c>
      <c r="J10" s="15"/>
    </row>
    <row r="11" customFormat="false" ht="15" hidden="false" customHeight="false" outlineLevel="0" collapsed="false">
      <c r="A11" s="24" t="n">
        <v>46217</v>
      </c>
      <c r="B11" s="15" t="s">
        <v>79</v>
      </c>
      <c r="C11" s="15" t="s">
        <v>32</v>
      </c>
      <c r="D11" s="15" t="n">
        <v>1.105</v>
      </c>
      <c r="E11" s="21" t="n">
        <f aca="false" t="array" ref="E11:E11">IFERROR(INDEX(Productos!$C$5:$C$10,MATCH(C11,Productos!$A$5:$A$10,0)),"")</f>
        <v>9500</v>
      </c>
      <c r="F11" s="21" t="n">
        <f aca="false">IF(D11="","",IFERROR(D11*E11,""))</f>
        <v>10497.5</v>
      </c>
      <c r="G11" s="21" t="n">
        <f aca="false">IF(F11="","",IFERROR(ROUND(F11/100,0)*100,""))</f>
        <v>10500</v>
      </c>
      <c r="H11" s="15" t="s">
        <v>77</v>
      </c>
      <c r="I11" s="15" t="s">
        <v>72</v>
      </c>
      <c r="J11" s="15"/>
    </row>
    <row r="12" customFormat="false" ht="15" hidden="false" customHeight="false" outlineLevel="0" collapsed="false">
      <c r="A12" s="24" t="n">
        <v>46217</v>
      </c>
      <c r="B12" s="15" t="s">
        <v>80</v>
      </c>
      <c r="C12" s="15" t="s">
        <v>32</v>
      </c>
      <c r="D12" s="15" t="n">
        <v>3.117</v>
      </c>
      <c r="E12" s="23" t="n">
        <f aca="false" t="array" ref="E12:E12">IFERROR(INDEX(Productos!$C$5:$C$10,MATCH(C12,Productos!$A$5:$A$10,0)),"")</f>
        <v>9500</v>
      </c>
      <c r="F12" s="23" t="n">
        <f aca="false">IF(D12="","",IFERROR(D12*E12,""))</f>
        <v>29611.5</v>
      </c>
      <c r="G12" s="23" t="n">
        <f aca="false">IF(F12="","",IFERROR(ROUND(F12/100,0)*100,""))</f>
        <v>29600</v>
      </c>
      <c r="H12" s="15" t="s">
        <v>77</v>
      </c>
      <c r="I12" s="15" t="s">
        <v>72</v>
      </c>
      <c r="J12" s="15"/>
    </row>
    <row r="13" customFormat="false" ht="15" hidden="false" customHeight="false" outlineLevel="0" collapsed="false">
      <c r="A13" s="24" t="n">
        <v>46217</v>
      </c>
      <c r="B13" s="15" t="s">
        <v>81</v>
      </c>
      <c r="C13" s="15" t="s">
        <v>32</v>
      </c>
      <c r="D13" s="15" t="n">
        <v>2.03</v>
      </c>
      <c r="E13" s="21" t="n">
        <f aca="false" t="array" ref="E13:E13">IFERROR(INDEX(Productos!$C$5:$C$10,MATCH(C13,Productos!$A$5:$A$10,0)),"")</f>
        <v>9500</v>
      </c>
      <c r="F13" s="21" t="n">
        <f aca="false">IF(D13="","",IFERROR(D13*E13,""))</f>
        <v>19285</v>
      </c>
      <c r="G13" s="21" t="n">
        <f aca="false">IF(F13="","",IFERROR(ROUND(F13/100,0)*100,""))</f>
        <v>19300</v>
      </c>
      <c r="H13" s="15" t="s">
        <v>77</v>
      </c>
      <c r="I13" s="15" t="s">
        <v>72</v>
      </c>
      <c r="J13" s="15"/>
    </row>
    <row r="14" customFormat="false" ht="15" hidden="false" customHeight="false" outlineLevel="0" collapsed="false">
      <c r="A14" s="24" t="n">
        <v>46217</v>
      </c>
      <c r="B14" s="15" t="s">
        <v>82</v>
      </c>
      <c r="C14" s="15" t="s">
        <v>32</v>
      </c>
      <c r="D14" s="15" t="n">
        <v>1.084</v>
      </c>
      <c r="E14" s="23" t="n">
        <f aca="false" t="array" ref="E14:E14">IFERROR(INDEX(Productos!$C$5:$C$10,MATCH(C14,Productos!$A$5:$A$10,0)),"")</f>
        <v>9500</v>
      </c>
      <c r="F14" s="23" t="n">
        <f aca="false">IF(D14="","",IFERROR(D14*E14,""))</f>
        <v>10298</v>
      </c>
      <c r="G14" s="23" t="n">
        <f aca="false">IF(F14="","",IFERROR(ROUND(F14/100,0)*100,""))</f>
        <v>10300</v>
      </c>
      <c r="H14" s="15" t="s">
        <v>71</v>
      </c>
      <c r="I14" s="15" t="s">
        <v>72</v>
      </c>
      <c r="J14" s="15"/>
    </row>
    <row r="15" customFormat="false" ht="15" hidden="false" customHeight="false" outlineLevel="0" collapsed="false">
      <c r="A15" s="24" t="n">
        <v>46217</v>
      </c>
      <c r="B15" s="15" t="s">
        <v>83</v>
      </c>
      <c r="C15" s="15" t="s">
        <v>32</v>
      </c>
      <c r="D15" s="15" t="n">
        <v>1.05</v>
      </c>
      <c r="E15" s="21" t="n">
        <f aca="false" t="array" ref="E15:E15">IFERROR(INDEX(Productos!$C$5:$C$10,MATCH(C15,Productos!$A$5:$A$10,0)),"")</f>
        <v>9500</v>
      </c>
      <c r="F15" s="21" t="n">
        <f aca="false">IF(D15="","",IFERROR(D15*E15,""))</f>
        <v>9975</v>
      </c>
      <c r="G15" s="21" t="n">
        <f aca="false">IF(F15="","",IFERROR(ROUND(F15/100,0)*100,""))</f>
        <v>10000</v>
      </c>
      <c r="H15" s="15" t="s">
        <v>77</v>
      </c>
      <c r="I15" s="15" t="s">
        <v>72</v>
      </c>
      <c r="J15" s="15"/>
    </row>
    <row r="16" customFormat="false" ht="15" hidden="false" customHeight="false" outlineLevel="0" collapsed="false">
      <c r="A16" s="24" t="n">
        <v>46217</v>
      </c>
      <c r="B16" s="15" t="s">
        <v>84</v>
      </c>
      <c r="C16" s="15" t="s">
        <v>32</v>
      </c>
      <c r="D16" s="15" t="n">
        <v>1</v>
      </c>
      <c r="E16" s="23" t="n">
        <f aca="false" t="array" ref="E16:E16">IFERROR(INDEX(Productos!$C$5:$C$10,MATCH(C16,Productos!$A$5:$A$10,0)),"")</f>
        <v>9500</v>
      </c>
      <c r="F16" s="23" t="n">
        <f aca="false">IF(D16="","",IFERROR(D16*E16,""))</f>
        <v>9500</v>
      </c>
      <c r="G16" s="23" t="n">
        <f aca="false">IF(F16="","",IFERROR(ROUND(F16/100,0)*100,""))</f>
        <v>9500</v>
      </c>
      <c r="H16" s="15" t="s">
        <v>71</v>
      </c>
      <c r="I16" s="15" t="s">
        <v>72</v>
      </c>
      <c r="J16" s="15"/>
    </row>
    <row r="17" customFormat="false" ht="15" hidden="false" customHeight="false" outlineLevel="0" collapsed="false">
      <c r="A17" s="24" t="n">
        <v>46217</v>
      </c>
      <c r="B17" s="15" t="s">
        <v>85</v>
      </c>
      <c r="C17" s="15" t="s">
        <v>32</v>
      </c>
      <c r="D17" s="15" t="n">
        <v>1</v>
      </c>
      <c r="E17" s="21" t="n">
        <f aca="false" t="array" ref="E17:E17">IFERROR(INDEX(Productos!$C$5:$C$10,MATCH(C17,Productos!$A$5:$A$10,0)),"")</f>
        <v>9500</v>
      </c>
      <c r="F17" s="21" t="n">
        <f aca="false">IF(D17="","",IFERROR(D17*E17,""))</f>
        <v>9500</v>
      </c>
      <c r="G17" s="21" t="n">
        <f aca="false">IF(F17="","",IFERROR(ROUND(F17/100,0)*100,""))</f>
        <v>9500</v>
      </c>
      <c r="H17" s="15" t="s">
        <v>71</v>
      </c>
      <c r="I17" s="15" t="s">
        <v>72</v>
      </c>
      <c r="J17" s="15"/>
    </row>
    <row r="18" customFormat="false" ht="15" hidden="false" customHeight="false" outlineLevel="0" collapsed="false">
      <c r="A18" s="24" t="n">
        <v>46218</v>
      </c>
      <c r="B18" s="15" t="s">
        <v>86</v>
      </c>
      <c r="C18" s="15" t="s">
        <v>32</v>
      </c>
      <c r="D18" s="15" t="n">
        <v>2.215</v>
      </c>
      <c r="E18" s="23" t="n">
        <f aca="false" t="array" ref="E18:E18">IFERROR(INDEX(Productos!$C$5:$C$10,MATCH(C18,Productos!$A$5:$A$10,0)),"")</f>
        <v>9500</v>
      </c>
      <c r="F18" s="23" t="n">
        <f aca="false">IF(D18="","",IFERROR(D18*E18,""))</f>
        <v>21042.5</v>
      </c>
      <c r="G18" s="23" t="n">
        <f aca="false">IF(F18="","",IFERROR(ROUND(F18/100,0)*100,""))</f>
        <v>21000</v>
      </c>
      <c r="H18" s="15" t="s">
        <v>77</v>
      </c>
      <c r="I18" s="15" t="s">
        <v>72</v>
      </c>
      <c r="J18" s="15"/>
    </row>
    <row r="19" customFormat="false" ht="15" hidden="false" customHeight="false" outlineLevel="0" collapsed="false">
      <c r="A19" s="24" t="n">
        <v>46219</v>
      </c>
      <c r="B19" s="15" t="s">
        <v>87</v>
      </c>
      <c r="C19" s="15" t="s">
        <v>32</v>
      </c>
      <c r="D19" s="15"/>
      <c r="E19" s="21" t="n">
        <f aca="false" t="array" ref="E19:E19">IFERROR(INDEX(Productos!$C$5:$C$10,MATCH(C19,Productos!$A$5:$A$10,0)),"")</f>
        <v>9500</v>
      </c>
      <c r="F19" s="21" t="str">
        <f aca="false">IF(D19="","",IFERROR(D19*E19,""))</f>
        <v/>
      </c>
      <c r="G19" s="21" t="str">
        <f aca="false">IF(F19="","",IFERROR(ROUND(F19/100,0)*100,""))</f>
        <v/>
      </c>
      <c r="H19" s="15" t="s">
        <v>71</v>
      </c>
      <c r="I19" s="15" t="s">
        <v>88</v>
      </c>
      <c r="J19" s="15"/>
    </row>
    <row r="20" customFormat="false" ht="15" hidden="false" customHeight="false" outlineLevel="0" collapsed="false">
      <c r="A20" s="24" t="n">
        <v>46219</v>
      </c>
      <c r="B20" s="15" t="s">
        <v>89</v>
      </c>
      <c r="C20" s="15" t="s">
        <v>32</v>
      </c>
      <c r="D20" s="15" t="n">
        <v>1.084</v>
      </c>
      <c r="E20" s="23" t="n">
        <f aca="false" t="array" ref="E20:E20">IFERROR(INDEX(Productos!$C$5:$C$10,MATCH(C20,Productos!$A$5:$A$10,0)),"")</f>
        <v>9500</v>
      </c>
      <c r="F20" s="23" t="n">
        <f aca="false">IF(D20="","",IFERROR(D20*E20,""))</f>
        <v>10298</v>
      </c>
      <c r="G20" s="23" t="n">
        <f aca="false">IF(F20="","",IFERROR(ROUND(F20/100,0)*100,""))</f>
        <v>10300</v>
      </c>
      <c r="H20" s="15" t="s">
        <v>71</v>
      </c>
      <c r="I20" s="15" t="s">
        <v>72</v>
      </c>
      <c r="J20" s="15"/>
    </row>
    <row r="21" customFormat="false" ht="15.75" hidden="false" customHeight="true" outlineLevel="0" collapsed="false">
      <c r="A21" s="24" t="n">
        <v>46219</v>
      </c>
      <c r="B21" s="15" t="s">
        <v>90</v>
      </c>
      <c r="C21" s="15" t="s">
        <v>32</v>
      </c>
      <c r="D21" s="15" t="n">
        <v>2.263</v>
      </c>
      <c r="E21" s="21" t="n">
        <f aca="false" t="array" ref="E21:E21">IFERROR(INDEX(Productos!$C$5:$C$10,MATCH(C21,Productos!$A$5:$A$10,0)),"")</f>
        <v>9500</v>
      </c>
      <c r="F21" s="21" t="n">
        <f aca="false">IF(D21="","",IFERROR(D21*E21,""))</f>
        <v>21498.5</v>
      </c>
      <c r="G21" s="21" t="n">
        <f aca="false">IF(F21="","",IFERROR(ROUND(F21/100,0)*100,""))</f>
        <v>21500</v>
      </c>
      <c r="H21" s="15" t="s">
        <v>71</v>
      </c>
      <c r="I21" s="15" t="s">
        <v>72</v>
      </c>
      <c r="J21" s="15"/>
    </row>
    <row r="22" customFormat="false" ht="15.75" hidden="false" customHeight="true" outlineLevel="0" collapsed="false">
      <c r="A22" s="24" t="n">
        <v>46219</v>
      </c>
      <c r="B22" s="15" t="s">
        <v>91</v>
      </c>
      <c r="C22" s="15" t="s">
        <v>32</v>
      </c>
      <c r="D22" s="15" t="n">
        <v>2.189</v>
      </c>
      <c r="E22" s="23" t="n">
        <f aca="false" t="array" ref="E22:E22">IFERROR(INDEX(Productos!$C$5:$C$10,MATCH(C22,Productos!$A$5:$A$10,0)),"")</f>
        <v>9500</v>
      </c>
      <c r="F22" s="23" t="n">
        <f aca="false">IF(D22="","",IFERROR(D22*E22,""))</f>
        <v>20795.5</v>
      </c>
      <c r="G22" s="23" t="n">
        <f aca="false">IF(F22="","",IFERROR(ROUND(F22/100,0)*100,""))</f>
        <v>20800</v>
      </c>
      <c r="H22" s="15" t="s">
        <v>71</v>
      </c>
      <c r="I22" s="15" t="s">
        <v>72</v>
      </c>
      <c r="J22" s="15"/>
    </row>
    <row r="23" customFormat="false" ht="15.75" hidden="false" customHeight="true" outlineLevel="0" collapsed="false">
      <c r="A23" s="24" t="n">
        <v>46219</v>
      </c>
      <c r="B23" s="15" t="s">
        <v>92</v>
      </c>
      <c r="C23" s="15" t="s">
        <v>32</v>
      </c>
      <c r="D23" s="15"/>
      <c r="E23" s="21" t="n">
        <f aca="false" t="array" ref="E23:E23">IFERROR(INDEX(Productos!$C$5:$C$10,MATCH(C23,Productos!$A$5:$A$10,0)),"")</f>
        <v>9500</v>
      </c>
      <c r="F23" s="21" t="str">
        <f aca="false">IF(D23="","",IFERROR(D23*E23,""))</f>
        <v/>
      </c>
      <c r="G23" s="21" t="str">
        <f aca="false">IF(F23="","",IFERROR(ROUND(F23/100,0)*100,""))</f>
        <v/>
      </c>
      <c r="H23" s="15" t="s">
        <v>77</v>
      </c>
      <c r="I23" s="15" t="s">
        <v>72</v>
      </c>
      <c r="J23" s="15"/>
    </row>
    <row r="24" customFormat="false" ht="15.75" hidden="false" customHeight="true" outlineLevel="0" collapsed="false">
      <c r="A24" s="24" t="n">
        <v>46219</v>
      </c>
      <c r="B24" s="15" t="s">
        <v>93</v>
      </c>
      <c r="C24" s="15" t="s">
        <v>32</v>
      </c>
      <c r="D24" s="15" t="n">
        <v>1.23</v>
      </c>
      <c r="E24" s="23" t="n">
        <f aca="false" t="array" ref="E24:E24">IFERROR(INDEX(Productos!$C$5:$C$10,MATCH(C24,Productos!$A$5:$A$10,0)),"")</f>
        <v>9500</v>
      </c>
      <c r="F24" s="23" t="n">
        <f aca="false">IF(D24="","",IFERROR(D24*E24,""))</f>
        <v>11685</v>
      </c>
      <c r="G24" s="23" t="n">
        <f aca="false">IF(F24="","",IFERROR(ROUND(F24/100,0)*100,""))</f>
        <v>11700</v>
      </c>
      <c r="H24" s="15" t="s">
        <v>71</v>
      </c>
      <c r="I24" s="15" t="s">
        <v>72</v>
      </c>
      <c r="J24" s="15"/>
    </row>
    <row r="25" customFormat="false" ht="15.75" hidden="false" customHeight="true" outlineLevel="0" collapsed="false">
      <c r="A25" s="24" t="n">
        <v>46221</v>
      </c>
      <c r="B25" s="15" t="s">
        <v>94</v>
      </c>
      <c r="C25" s="15" t="s">
        <v>32</v>
      </c>
      <c r="D25" s="15" t="n">
        <v>4.431</v>
      </c>
      <c r="E25" s="21" t="n">
        <f aca="false" t="array" ref="E25:E25">IFERROR(INDEX(Productos!$C$5:$C$10,MATCH(C25,Productos!$A$5:$A$10,0)),"")</f>
        <v>9500</v>
      </c>
      <c r="F25" s="21" t="n">
        <f aca="false">IF(D25="","",IFERROR(D25*E25,""))</f>
        <v>42094.5</v>
      </c>
      <c r="G25" s="21" t="n">
        <f aca="false">IF(F25="","",IFERROR(ROUND(F25/100,0)*100,""))</f>
        <v>42100</v>
      </c>
      <c r="H25" s="15" t="s">
        <v>71</v>
      </c>
      <c r="I25" s="15" t="s">
        <v>72</v>
      </c>
      <c r="J25" s="15"/>
    </row>
    <row r="26" customFormat="false" ht="15.75" hidden="false" customHeight="true" outlineLevel="0" collapsed="false">
      <c r="A26" s="24" t="n">
        <v>46221</v>
      </c>
      <c r="B26" s="15" t="s">
        <v>95</v>
      </c>
      <c r="C26" s="15" t="s">
        <v>32</v>
      </c>
      <c r="D26" s="15" t="n">
        <v>2.105</v>
      </c>
      <c r="E26" s="23" t="n">
        <f aca="false" t="array" ref="E26:E26">IFERROR(INDEX(Productos!$C$5:$C$10,MATCH(C26,Productos!$A$5:$A$10,0)),"")</f>
        <v>9500</v>
      </c>
      <c r="F26" s="23" t="n">
        <f aca="false">IF(D26="","",IFERROR(D26*E26,""))</f>
        <v>19997.5</v>
      </c>
      <c r="G26" s="23" t="n">
        <f aca="false">IF(F26="","",IFERROR(ROUND(F26/100,0)*100,""))</f>
        <v>20000</v>
      </c>
      <c r="H26" s="15" t="s">
        <v>71</v>
      </c>
      <c r="I26" s="15" t="s">
        <v>72</v>
      </c>
      <c r="J26" s="15"/>
    </row>
    <row r="27" customFormat="false" ht="15.75" hidden="false" customHeight="true" outlineLevel="0" collapsed="false">
      <c r="A27" s="24" t="n">
        <v>46221</v>
      </c>
      <c r="B27" s="15" t="s">
        <v>81</v>
      </c>
      <c r="C27" s="15" t="s">
        <v>32</v>
      </c>
      <c r="D27" s="15" t="n">
        <v>2.2</v>
      </c>
      <c r="E27" s="21" t="n">
        <f aca="false" t="array" ref="E27:E27">IFERROR(INDEX(Productos!$C$5:$C$10,MATCH(C27,Productos!$A$5:$A$10,0)),"")</f>
        <v>9500</v>
      </c>
      <c r="F27" s="21" t="n">
        <f aca="false">IF(D27="","",IFERROR(D27*E27,""))</f>
        <v>20900</v>
      </c>
      <c r="G27" s="21" t="n">
        <f aca="false">IF(F27="","",IFERROR(ROUND(F27/100,0)*100,""))</f>
        <v>20900</v>
      </c>
      <c r="H27" s="15" t="s">
        <v>77</v>
      </c>
      <c r="I27" s="15" t="s">
        <v>72</v>
      </c>
      <c r="J27" s="15"/>
    </row>
    <row r="28" customFormat="false" ht="15.75" hidden="false" customHeight="true" outlineLevel="0" collapsed="false">
      <c r="A28" s="24" t="n">
        <v>46221</v>
      </c>
      <c r="B28" s="15" t="s">
        <v>96</v>
      </c>
      <c r="C28" s="15" t="s">
        <v>32</v>
      </c>
      <c r="D28" s="15" t="n">
        <v>1.21</v>
      </c>
      <c r="E28" s="23" t="n">
        <f aca="false" t="array" ref="E28:E28">IFERROR(INDEX(Productos!$C$5:$C$10,MATCH(C28,Productos!$A$5:$A$10,0)),"")</f>
        <v>9500</v>
      </c>
      <c r="F28" s="23" t="n">
        <f aca="false">IF(D28="","",IFERROR(D28*E28,""))</f>
        <v>11495</v>
      </c>
      <c r="G28" s="23" t="n">
        <f aca="false">IF(F28="","",IFERROR(ROUND(F28/100,0)*100,""))</f>
        <v>11500</v>
      </c>
      <c r="H28" s="15"/>
      <c r="I28" s="15" t="s">
        <v>72</v>
      </c>
      <c r="J28" s="15"/>
    </row>
    <row r="29" customFormat="false" ht="15.75" hidden="false" customHeight="true" outlineLevel="0" collapsed="false">
      <c r="A29" s="24" t="n">
        <v>46221</v>
      </c>
      <c r="B29" s="15" t="s">
        <v>97</v>
      </c>
      <c r="C29" s="15" t="s">
        <v>32</v>
      </c>
      <c r="D29" s="15" t="n">
        <v>2.263</v>
      </c>
      <c r="E29" s="21" t="n">
        <f aca="false" t="array" ref="E29:E29">IFERROR(INDEX(Productos!$C$5:$C$10,MATCH(C29,Productos!$A$5:$A$10,0)),"")</f>
        <v>9500</v>
      </c>
      <c r="F29" s="21" t="n">
        <f aca="false">IF(D29="","",IFERROR(D29*E29,""))</f>
        <v>21498.5</v>
      </c>
      <c r="G29" s="21" t="n">
        <f aca="false">IF(F29="","",IFERROR(ROUND(F29/100,0)*100,""))</f>
        <v>21500</v>
      </c>
      <c r="H29" s="15" t="s">
        <v>71</v>
      </c>
      <c r="I29" s="15" t="s">
        <v>72</v>
      </c>
      <c r="J29" s="15"/>
    </row>
    <row r="30" customFormat="false" ht="15.75" hidden="false" customHeight="true" outlineLevel="0" collapsed="false">
      <c r="A30" s="24" t="n">
        <v>46221</v>
      </c>
      <c r="B30" s="15" t="s">
        <v>98</v>
      </c>
      <c r="C30" s="15" t="s">
        <v>32</v>
      </c>
      <c r="D30" s="15" t="n">
        <v>2.168</v>
      </c>
      <c r="E30" s="23" t="n">
        <f aca="false" t="array" ref="E30:E30">IFERROR(INDEX(Productos!$C$5:$C$10,MATCH(C30,Productos!$A$5:$A$10,0)),"")</f>
        <v>9500</v>
      </c>
      <c r="F30" s="23" t="n">
        <f aca="false">IF(D30="","",IFERROR(D30*E30,""))</f>
        <v>20596</v>
      </c>
      <c r="G30" s="23" t="n">
        <f aca="false">IF(F30="","",IFERROR(ROUND(F30/100,0)*100,""))</f>
        <v>20600</v>
      </c>
      <c r="H30" s="15" t="s">
        <v>71</v>
      </c>
      <c r="I30" s="15" t="s">
        <v>72</v>
      </c>
      <c r="J30" s="15"/>
    </row>
    <row r="31" customFormat="false" ht="15.75" hidden="false" customHeight="true" outlineLevel="0" collapsed="false">
      <c r="A31" s="24" t="n">
        <v>46221</v>
      </c>
      <c r="B31" s="15" t="s">
        <v>99</v>
      </c>
      <c r="C31" s="15" t="s">
        <v>32</v>
      </c>
      <c r="D31" s="15" t="n">
        <v>1.315</v>
      </c>
      <c r="E31" s="21" t="n">
        <f aca="false" t="array" ref="E31:E31">IFERROR(INDEX(Productos!$C$5:$C$10,MATCH(C31,Productos!$A$5:$A$10,0)),"")</f>
        <v>9500</v>
      </c>
      <c r="F31" s="21" t="n">
        <f aca="false">IF(D31="","",IFERROR(D31*E31,""))</f>
        <v>12492.5</v>
      </c>
      <c r="G31" s="21" t="n">
        <f aca="false">IF(F31="","",IFERROR(ROUND(F31/100,0)*100,""))</f>
        <v>12500</v>
      </c>
      <c r="H31" s="15" t="s">
        <v>71</v>
      </c>
      <c r="I31" s="15" t="s">
        <v>72</v>
      </c>
      <c r="J31" s="15"/>
    </row>
    <row r="32" customFormat="false" ht="15.75" hidden="false" customHeight="true" outlineLevel="0" collapsed="false">
      <c r="A32" s="24" t="n">
        <v>46221</v>
      </c>
      <c r="B32" s="15" t="s">
        <v>99</v>
      </c>
      <c r="C32" s="15" t="s">
        <v>32</v>
      </c>
      <c r="D32" s="15" t="n">
        <v>2.294</v>
      </c>
      <c r="E32" s="23" t="n">
        <f aca="false" t="array" ref="E32:E32">IFERROR(INDEX(Productos!$C$5:$C$10,MATCH(C32,Productos!$A$5:$A$10,0)),"")</f>
        <v>9500</v>
      </c>
      <c r="F32" s="23" t="n">
        <f aca="false">IF(D32="","",IFERROR(D32*E32,""))</f>
        <v>21793</v>
      </c>
      <c r="G32" s="23" t="n">
        <f aca="false">IF(F32="","",IFERROR(ROUND(F32/100,0)*100,""))</f>
        <v>21800</v>
      </c>
      <c r="H32" s="15" t="s">
        <v>71</v>
      </c>
      <c r="I32" s="15" t="s">
        <v>72</v>
      </c>
      <c r="J32" s="15"/>
    </row>
    <row r="33" customFormat="false" ht="15.75" hidden="false" customHeight="true" outlineLevel="0" collapsed="false">
      <c r="A33" s="24"/>
      <c r="B33" s="15"/>
      <c r="C33" s="15" t="s">
        <v>32</v>
      </c>
      <c r="D33" s="15"/>
      <c r="E33" s="21" t="n">
        <f aca="false" t="array" ref="E33:E33">IFERROR(INDEX(Productos!$C$5:$C$10,MATCH(C33,Productos!$A$5:$A$10,0)),"")</f>
        <v>9500</v>
      </c>
      <c r="F33" s="21" t="str">
        <f aca="false">IF(D33="","",IFERROR(D33*E33,""))</f>
        <v/>
      </c>
      <c r="G33" s="21" t="str">
        <f aca="false">IF(F33="","",IFERROR(ROUND(F33/100,0)*100,""))</f>
        <v/>
      </c>
      <c r="H33" s="15"/>
      <c r="I33" s="15"/>
      <c r="J33" s="15"/>
    </row>
    <row r="34" customFormat="false" ht="15.75" hidden="false" customHeight="true" outlineLevel="0" collapsed="false">
      <c r="A34" s="24"/>
      <c r="B34" s="15"/>
      <c r="C34" s="15" t="s">
        <v>32</v>
      </c>
      <c r="D34" s="15"/>
      <c r="E34" s="23" t="n">
        <f aca="false" t="array" ref="E34:E34">IFERROR(INDEX(Productos!$C$5:$C$10,MATCH(C34,Productos!$A$5:$A$10,0)),"")</f>
        <v>9500</v>
      </c>
      <c r="F34" s="23" t="str">
        <f aca="false">IF(D34="","",IFERROR(D34*E34,""))</f>
        <v/>
      </c>
      <c r="G34" s="23" t="str">
        <f aca="false">IF(F34="","",IFERROR(ROUND(F34/100,0)*100,""))</f>
        <v/>
      </c>
      <c r="H34" s="15"/>
      <c r="I34" s="15"/>
      <c r="J34" s="15"/>
    </row>
    <row r="35" customFormat="false" ht="15.75" hidden="false" customHeight="true" outlineLevel="0" collapsed="false">
      <c r="A35" s="24"/>
      <c r="B35" s="15"/>
      <c r="C35" s="15" t="s">
        <v>32</v>
      </c>
      <c r="D35" s="15"/>
      <c r="E35" s="21" t="n">
        <f aca="false" t="array" ref="E35:E35">IFERROR(INDEX(Productos!$C$5:$C$10,MATCH(C35,Productos!$A$5:$A$10,0)),"")</f>
        <v>9500</v>
      </c>
      <c r="F35" s="21" t="str">
        <f aca="false">IF(D35="","",IFERROR(D35*E35,""))</f>
        <v/>
      </c>
      <c r="G35" s="21" t="str">
        <f aca="false">IF(F35="","",IFERROR(ROUND(F35/100,0)*100,""))</f>
        <v/>
      </c>
      <c r="H35" s="15"/>
      <c r="I35" s="15"/>
      <c r="J35" s="15"/>
    </row>
    <row r="36" customFormat="false" ht="15.75" hidden="false" customHeight="true" outlineLevel="0" collapsed="false">
      <c r="A36" s="24"/>
      <c r="B36" s="15"/>
      <c r="C36" s="15" t="s">
        <v>32</v>
      </c>
      <c r="D36" s="15"/>
      <c r="E36" s="23" t="n">
        <f aca="false" t="array" ref="E36:E36">IFERROR(INDEX(Productos!$C$5:$C$10,MATCH(C36,Productos!$A$5:$A$10,0)),"")</f>
        <v>9500</v>
      </c>
      <c r="F36" s="23" t="str">
        <f aca="false">IF(D36="","",IFERROR(D36*E36,""))</f>
        <v/>
      </c>
      <c r="G36" s="23" t="str">
        <f aca="false">IF(F36="","",IFERROR(ROUND(F36/100,0)*100,""))</f>
        <v/>
      </c>
      <c r="H36" s="15"/>
      <c r="I36" s="15"/>
      <c r="J36" s="15"/>
    </row>
    <row r="37" customFormat="false" ht="15.75" hidden="false" customHeight="true" outlineLevel="0" collapsed="false">
      <c r="A37" s="24"/>
      <c r="B37" s="15"/>
      <c r="C37" s="15" t="s">
        <v>32</v>
      </c>
      <c r="D37" s="15"/>
      <c r="E37" s="21" t="n">
        <f aca="false" t="array" ref="E37:E37">IFERROR(INDEX(Productos!$C$5:$C$10,MATCH(C37,Productos!$A$5:$A$10,0)),"")</f>
        <v>9500</v>
      </c>
      <c r="F37" s="21" t="str">
        <f aca="false">IF(D37="","",IFERROR(D37*E37,""))</f>
        <v/>
      </c>
      <c r="G37" s="21" t="str">
        <f aca="false">IF(F37="","",IFERROR(ROUND(F37/100,0)*100,""))</f>
        <v/>
      </c>
      <c r="H37" s="15"/>
      <c r="I37" s="15"/>
      <c r="J37" s="15"/>
    </row>
    <row r="38" customFormat="false" ht="15.75" hidden="false" customHeight="true" outlineLevel="0" collapsed="false">
      <c r="A38" s="24"/>
      <c r="B38" s="15"/>
      <c r="C38" s="15" t="s">
        <v>32</v>
      </c>
      <c r="D38" s="15"/>
      <c r="E38" s="23" t="n">
        <f aca="false" t="array" ref="E38:E38">IFERROR(INDEX(Productos!$C$5:$C$10,MATCH(C38,Productos!$A$5:$A$10,0)),"")</f>
        <v>9500</v>
      </c>
      <c r="F38" s="23" t="str">
        <f aca="false">IF(D38="","",IFERROR(D38*E38,""))</f>
        <v/>
      </c>
      <c r="G38" s="23" t="str">
        <f aca="false">IF(F38="","",IFERROR(ROUND(F38/100,0)*100,""))</f>
        <v/>
      </c>
      <c r="H38" s="15"/>
      <c r="I38" s="15"/>
      <c r="J38" s="15"/>
    </row>
    <row r="39" customFormat="false" ht="15.75" hidden="false" customHeight="true" outlineLevel="0" collapsed="false">
      <c r="A39" s="24"/>
      <c r="B39" s="15"/>
      <c r="C39" s="15" t="s">
        <v>32</v>
      </c>
      <c r="D39" s="15"/>
      <c r="E39" s="21" t="n">
        <f aca="false" t="array" ref="E39:E39">IFERROR(INDEX(Productos!$C$5:$C$10,MATCH(C39,Productos!$A$5:$A$10,0)),"")</f>
        <v>9500</v>
      </c>
      <c r="F39" s="21" t="str">
        <f aca="false">IF(D39="","",IFERROR(D39*E39,""))</f>
        <v/>
      </c>
      <c r="G39" s="21" t="str">
        <f aca="false">IF(F39="","",IFERROR(ROUND(F39/100,0)*100,""))</f>
        <v/>
      </c>
      <c r="H39" s="15"/>
      <c r="I39" s="15"/>
      <c r="J39" s="15"/>
    </row>
    <row r="40" customFormat="false" ht="15.75" hidden="false" customHeight="true" outlineLevel="0" collapsed="false">
      <c r="A40" s="24"/>
      <c r="B40" s="15"/>
      <c r="C40" s="15" t="s">
        <v>32</v>
      </c>
      <c r="D40" s="15"/>
      <c r="E40" s="23" t="n">
        <f aca="false" t="array" ref="E40:E40">IFERROR(INDEX(Productos!$C$5:$C$10,MATCH(C40,Productos!$A$5:$A$10,0)),"")</f>
        <v>9500</v>
      </c>
      <c r="F40" s="23" t="str">
        <f aca="false">IF(D40="","",IFERROR(D40*E40,""))</f>
        <v/>
      </c>
      <c r="G40" s="23" t="str">
        <f aca="false">IF(F40="","",IFERROR(ROUND(F40/100,0)*100,""))</f>
        <v/>
      </c>
      <c r="H40" s="15"/>
      <c r="I40" s="15"/>
      <c r="J40" s="15"/>
    </row>
    <row r="41" customFormat="false" ht="15.75" hidden="false" customHeight="true" outlineLevel="0" collapsed="false">
      <c r="A41" s="24"/>
      <c r="B41" s="15"/>
      <c r="C41" s="15" t="s">
        <v>32</v>
      </c>
      <c r="D41" s="15"/>
      <c r="E41" s="21" t="n">
        <f aca="false" t="array" ref="E41:E41">IFERROR(INDEX(Productos!$C$5:$C$10,MATCH(C41,Productos!$A$5:$A$10,0)),"")</f>
        <v>9500</v>
      </c>
      <c r="F41" s="21" t="str">
        <f aca="false">IF(D41="","",IFERROR(D41*E41,""))</f>
        <v/>
      </c>
      <c r="G41" s="21" t="str">
        <f aca="false">IF(F41="","",IFERROR(ROUND(F41/100,0)*100,""))</f>
        <v/>
      </c>
      <c r="H41" s="15"/>
      <c r="I41" s="15"/>
      <c r="J41" s="15"/>
    </row>
    <row r="42" customFormat="false" ht="15.75" hidden="false" customHeight="true" outlineLevel="0" collapsed="false">
      <c r="A42" s="24"/>
      <c r="B42" s="15"/>
      <c r="C42" s="15" t="s">
        <v>32</v>
      </c>
      <c r="D42" s="15"/>
      <c r="E42" s="23" t="n">
        <f aca="false" t="array" ref="E42:E42">IFERROR(INDEX(Productos!$C$5:$C$10,MATCH(C42,Productos!$A$5:$A$10,0)),"")</f>
        <v>9500</v>
      </c>
      <c r="F42" s="23" t="str">
        <f aca="false">IF(D42="","",IFERROR(D42*E42,""))</f>
        <v/>
      </c>
      <c r="G42" s="23" t="str">
        <f aca="false">IF(F42="","",IFERROR(ROUND(F42/100,0)*100,""))</f>
        <v/>
      </c>
      <c r="H42" s="15"/>
      <c r="I42" s="15"/>
      <c r="J42" s="15"/>
    </row>
    <row r="43" customFormat="false" ht="15.75" hidden="false" customHeight="true" outlineLevel="0" collapsed="false">
      <c r="A43" s="24"/>
      <c r="B43" s="15"/>
      <c r="C43" s="15" t="s">
        <v>32</v>
      </c>
      <c r="D43" s="15"/>
      <c r="E43" s="21" t="n">
        <f aca="false" t="array" ref="E43:E43">IFERROR(INDEX(Productos!$C$5:$C$10,MATCH(C43,Productos!$A$5:$A$10,0)),"")</f>
        <v>9500</v>
      </c>
      <c r="F43" s="21" t="str">
        <f aca="false">IF(D43="","",IFERROR(D43*E43,""))</f>
        <v/>
      </c>
      <c r="G43" s="21" t="str">
        <f aca="false">IF(F43="","",IFERROR(ROUND(F43/100,0)*100,""))</f>
        <v/>
      </c>
      <c r="H43" s="15"/>
      <c r="I43" s="15"/>
      <c r="J43" s="15"/>
    </row>
    <row r="44" customFormat="false" ht="15.75" hidden="false" customHeight="true" outlineLevel="0" collapsed="false">
      <c r="A44" s="24"/>
      <c r="B44" s="15"/>
      <c r="C44" s="15" t="s">
        <v>32</v>
      </c>
      <c r="D44" s="15"/>
      <c r="E44" s="23" t="n">
        <f aca="false" t="array" ref="E44:E44">IFERROR(INDEX(Productos!$C$5:$C$10,MATCH(C44,Productos!$A$5:$A$10,0)),"")</f>
        <v>9500</v>
      </c>
      <c r="F44" s="23" t="str">
        <f aca="false">IF(D44="","",IFERROR(D44*E44,""))</f>
        <v/>
      </c>
      <c r="G44" s="23" t="str">
        <f aca="false">IF(F44="","",IFERROR(ROUND(F44/100,0)*100,""))</f>
        <v/>
      </c>
      <c r="H44" s="15"/>
      <c r="I44" s="15"/>
      <c r="J44" s="15"/>
    </row>
    <row r="45" customFormat="false" ht="15.75" hidden="false" customHeight="true" outlineLevel="0" collapsed="false">
      <c r="A45" s="24"/>
      <c r="B45" s="15"/>
      <c r="C45" s="15" t="s">
        <v>32</v>
      </c>
      <c r="D45" s="15"/>
      <c r="E45" s="21" t="n">
        <f aca="false" t="array" ref="E45:E45">IFERROR(INDEX(Productos!$C$5:$C$10,MATCH(C45,Productos!$A$5:$A$10,0)),"")</f>
        <v>9500</v>
      </c>
      <c r="F45" s="21" t="str">
        <f aca="false">IF(D45="","",IFERROR(D45*E45,""))</f>
        <v/>
      </c>
      <c r="G45" s="21" t="str">
        <f aca="false">IF(F45="","",IFERROR(ROUND(F45/100,0)*100,""))</f>
        <v/>
      </c>
      <c r="H45" s="15"/>
      <c r="I45" s="15"/>
      <c r="J45" s="15"/>
    </row>
    <row r="46" customFormat="false" ht="15.75" hidden="false" customHeight="true" outlineLevel="0" collapsed="false">
      <c r="A46" s="24"/>
      <c r="B46" s="15"/>
      <c r="C46" s="15" t="s">
        <v>32</v>
      </c>
      <c r="D46" s="15"/>
      <c r="E46" s="23" t="n">
        <f aca="false" t="array" ref="E46:E46">IFERROR(INDEX(Productos!$C$5:$C$10,MATCH(C46,Productos!$A$5:$A$10,0)),"")</f>
        <v>9500</v>
      </c>
      <c r="F46" s="23" t="str">
        <f aca="false">IF(D46="","",IFERROR(D46*E46,""))</f>
        <v/>
      </c>
      <c r="G46" s="23" t="str">
        <f aca="false">IF(F46="","",IFERROR(ROUND(F46/100,0)*100,""))</f>
        <v/>
      </c>
      <c r="H46" s="15"/>
      <c r="I46" s="15"/>
      <c r="J46" s="15"/>
    </row>
    <row r="47" customFormat="false" ht="15.75" hidden="false" customHeight="true" outlineLevel="0" collapsed="false">
      <c r="A47" s="24"/>
      <c r="B47" s="15"/>
      <c r="C47" s="15" t="s">
        <v>32</v>
      </c>
      <c r="D47" s="15"/>
      <c r="E47" s="21" t="n">
        <f aca="false" t="array" ref="E47:E47">IFERROR(INDEX(Productos!$C$5:$C$10,MATCH(C47,Productos!$A$5:$A$10,0)),"")</f>
        <v>9500</v>
      </c>
      <c r="F47" s="21" t="str">
        <f aca="false">IF(D47="","",IFERROR(D47*E47,""))</f>
        <v/>
      </c>
      <c r="G47" s="21" t="str">
        <f aca="false">IF(F47="","",IFERROR(ROUND(F47/100,0)*100,""))</f>
        <v/>
      </c>
      <c r="H47" s="15"/>
      <c r="I47" s="15"/>
      <c r="J47" s="15"/>
    </row>
    <row r="48" customFormat="false" ht="15.75" hidden="false" customHeight="true" outlineLevel="0" collapsed="false">
      <c r="A48" s="24"/>
      <c r="B48" s="15"/>
      <c r="C48" s="15" t="s">
        <v>32</v>
      </c>
      <c r="D48" s="15"/>
      <c r="E48" s="23" t="n">
        <f aca="false" t="array" ref="E48:E48">IFERROR(INDEX(Productos!$C$5:$C$10,MATCH(C48,Productos!$A$5:$A$10,0)),"")</f>
        <v>9500</v>
      </c>
      <c r="F48" s="23" t="str">
        <f aca="false">IF(D48="","",IFERROR(D48*E48,""))</f>
        <v/>
      </c>
      <c r="G48" s="23" t="str">
        <f aca="false">IF(F48="","",IFERROR(ROUND(F48/100,0)*100,""))</f>
        <v/>
      </c>
      <c r="H48" s="15"/>
      <c r="I48" s="15"/>
      <c r="J48" s="15"/>
    </row>
    <row r="49" customFormat="false" ht="15.75" hidden="false" customHeight="true" outlineLevel="0" collapsed="false">
      <c r="A49" s="24"/>
      <c r="B49" s="15"/>
      <c r="C49" s="15" t="s">
        <v>32</v>
      </c>
      <c r="D49" s="15"/>
      <c r="E49" s="21" t="n">
        <f aca="false" t="array" ref="E49:E49">IFERROR(INDEX(Productos!$C$5:$C$10,MATCH(C49,Productos!$A$5:$A$10,0)),"")</f>
        <v>9500</v>
      </c>
      <c r="F49" s="21" t="str">
        <f aca="false">IF(D49="","",IFERROR(D49*E49,""))</f>
        <v/>
      </c>
      <c r="G49" s="21" t="str">
        <f aca="false">IF(F49="","",IFERROR(ROUND(F49/100,0)*100,""))</f>
        <v/>
      </c>
      <c r="H49" s="15"/>
      <c r="I49" s="15"/>
      <c r="J49" s="15"/>
    </row>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J1"/>
    <mergeCell ref="A2:J2"/>
  </mergeCells>
  <conditionalFormatting sqref="I5:I49">
    <cfRule type="expression" priority="2" aboveAverage="0" equalAverage="0" bottom="0" percent="0" rank="0" text="" dxfId="2">
      <formula>I5="Reservado"</formula>
    </cfRule>
    <cfRule type="expression" priority="3" aboveAverage="0" equalAverage="0" bottom="0" percent="0" rank="0" text="" dxfId="3">
      <formula>I5="Pendiente"</formula>
    </cfRule>
    <cfRule type="expression" priority="4" aboveAverage="0" equalAverage="0" bottom="0" percent="0" rank="0" text="" dxfId="1">
      <formula>I5="Entregado"</formula>
    </cfRule>
    <cfRule type="expression" priority="5" aboveAverage="0" equalAverage="0" bottom="0" percent="0" rank="0" text="" dxfId="0">
      <formula>I5="Cancelado"</formula>
    </cfRule>
  </conditionalFormatting>
  <dataValidations count="3">
    <dataValidation allowBlank="true" errorStyle="stop" operator="between" showDropDown="false" showErrorMessage="false" showInputMessage="false" sqref="H5:H49" type="list">
      <formula1>"Efectivo,Transferencia"</formula1>
      <formula2>0</formula2>
    </dataValidation>
    <dataValidation allowBlank="true" errorStyle="stop" operator="between" showDropDown="false" showErrorMessage="false" showInputMessage="false" sqref="C5:C49" type="list">
      <formula1>Productos!$A$5:$A$10</formula1>
      <formula2>0</formula2>
    </dataValidation>
    <dataValidation allowBlank="true" errorStyle="stop" operator="between" showDropDown="false" showErrorMessage="false" showInputMessage="false" sqref="I5:I49" type="list">
      <formula1>"Reservado,Pendiente,Entregado,Cancelado"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11"/>
    <col collapsed="false" customWidth="true" hidden="false" outlineLevel="0" max="5" min="4" style="0" width="14"/>
    <col collapsed="false" customWidth="true" hidden="false" outlineLevel="0" max="6" min="6" style="0" width="18"/>
    <col collapsed="false" customWidth="true" hidden="false" outlineLevel="0" max="7" min="7" style="0" width="20"/>
    <col collapsed="false" customWidth="true" hidden="false" outlineLevel="0" max="8" min="8" style="0" width="13"/>
    <col collapsed="false" customWidth="true" hidden="false" outlineLevel="0" max="26" min="9" style="0" width="8.71"/>
  </cols>
  <sheetData>
    <row r="1" customFormat="false" ht="27.75" hidden="false" customHeight="true" outlineLevel="0" collapsed="false">
      <c r="A1" s="13" t="s">
        <v>100</v>
      </c>
      <c r="B1" s="13"/>
      <c r="C1" s="13"/>
      <c r="D1" s="13"/>
      <c r="E1" s="13"/>
      <c r="F1" s="13"/>
      <c r="G1" s="13"/>
      <c r="H1" s="13"/>
    </row>
    <row r="2" customFormat="false" ht="18" hidden="false" customHeight="true" outlineLevel="0" collapsed="false">
      <c r="A2" s="9" t="s">
        <v>101</v>
      </c>
      <c r="B2" s="9"/>
      <c r="C2" s="9"/>
      <c r="D2" s="9"/>
      <c r="E2" s="9"/>
      <c r="F2" s="9"/>
      <c r="G2" s="9"/>
      <c r="H2" s="9"/>
    </row>
    <row r="4" customFormat="false" ht="26.85" hidden="false" customHeight="false" outlineLevel="0" collapsed="false">
      <c r="A4" s="14" t="s">
        <v>63</v>
      </c>
      <c r="B4" s="14" t="s">
        <v>37</v>
      </c>
      <c r="C4" s="14" t="s">
        <v>102</v>
      </c>
      <c r="D4" s="14" t="s">
        <v>44</v>
      </c>
      <c r="E4" s="14" t="s">
        <v>103</v>
      </c>
      <c r="F4" s="14" t="s">
        <v>104</v>
      </c>
      <c r="G4" s="14" t="s">
        <v>31</v>
      </c>
      <c r="H4" s="14" t="s">
        <v>105</v>
      </c>
    </row>
    <row r="5" customFormat="false" ht="15" hidden="false" customHeight="false" outlineLevel="0" collapsed="false">
      <c r="A5" s="24" t="n">
        <v>46214</v>
      </c>
      <c r="B5" s="15" t="s">
        <v>46</v>
      </c>
      <c r="C5" s="15" t="n">
        <v>30</v>
      </c>
      <c r="D5" s="16" t="n">
        <v>7900</v>
      </c>
      <c r="E5" s="21" t="n">
        <f aca="false">IFERROR(C5*D5,"")</f>
        <v>237000</v>
      </c>
      <c r="F5" s="15" t="s">
        <v>106</v>
      </c>
      <c r="G5" s="15" t="s">
        <v>107</v>
      </c>
      <c r="H5" s="15" t="s">
        <v>108</v>
      </c>
    </row>
    <row r="6" customFormat="false" ht="15" hidden="false" customHeight="false" outlineLevel="0" collapsed="false">
      <c r="A6" s="24" t="n">
        <v>46214</v>
      </c>
      <c r="B6" s="15" t="s">
        <v>47</v>
      </c>
      <c r="C6" s="15" t="n">
        <v>25</v>
      </c>
      <c r="D6" s="16" t="n">
        <v>1512</v>
      </c>
      <c r="E6" s="23" t="n">
        <f aca="false">IFERROR(C6*D6,"")</f>
        <v>37800</v>
      </c>
      <c r="F6" s="15" t="s">
        <v>106</v>
      </c>
      <c r="G6" s="15"/>
      <c r="H6" s="15" t="s">
        <v>108</v>
      </c>
    </row>
    <row r="7" customFormat="false" ht="15" hidden="false" customHeight="false" outlineLevel="0" collapsed="false">
      <c r="A7" s="24" t="n">
        <v>46214</v>
      </c>
      <c r="B7" s="15" t="s">
        <v>47</v>
      </c>
      <c r="C7" s="15" t="n">
        <v>20</v>
      </c>
      <c r="D7" s="16" t="n">
        <v>1512</v>
      </c>
      <c r="E7" s="21" t="n">
        <f aca="false">IFERROR(C7*D7,"")</f>
        <v>30240</v>
      </c>
      <c r="F7" s="15" t="s">
        <v>109</v>
      </c>
      <c r="G7" s="15"/>
      <c r="H7" s="15" t="s">
        <v>108</v>
      </c>
    </row>
    <row r="8" customFormat="false" ht="15" hidden="false" customHeight="false" outlineLevel="0" collapsed="false">
      <c r="A8" s="24" t="n">
        <v>46214</v>
      </c>
      <c r="B8" s="15" t="s">
        <v>48</v>
      </c>
      <c r="C8" s="15" t="n">
        <v>60</v>
      </c>
      <c r="D8" s="16" t="n">
        <v>192</v>
      </c>
      <c r="E8" s="23" t="n">
        <f aca="false">IFERROR(C8*D8,"")</f>
        <v>11520</v>
      </c>
      <c r="F8" s="15" t="s">
        <v>110</v>
      </c>
      <c r="G8" s="15"/>
      <c r="H8" s="15" t="s">
        <v>108</v>
      </c>
    </row>
    <row r="9" customFormat="false" ht="15" hidden="false" customHeight="false" outlineLevel="0" collapsed="false">
      <c r="A9" s="24" t="n">
        <v>46214</v>
      </c>
      <c r="B9" s="15" t="s">
        <v>52</v>
      </c>
      <c r="C9" s="15" t="n">
        <v>1000</v>
      </c>
      <c r="D9" s="16" t="n">
        <v>7.5</v>
      </c>
      <c r="E9" s="21" t="n">
        <f aca="false">IFERROR(C9*D9,"")</f>
        <v>7500</v>
      </c>
      <c r="F9" s="15" t="s">
        <v>110</v>
      </c>
      <c r="G9" s="15"/>
      <c r="H9" s="15" t="s">
        <v>108</v>
      </c>
    </row>
    <row r="10" customFormat="false" ht="15" hidden="false" customHeight="false" outlineLevel="0" collapsed="false">
      <c r="A10" s="24" t="n">
        <v>46214</v>
      </c>
      <c r="B10" s="15" t="s">
        <v>53</v>
      </c>
      <c r="C10" s="15" t="n">
        <v>1000</v>
      </c>
      <c r="D10" s="16" t="n">
        <v>7.8</v>
      </c>
      <c r="E10" s="23" t="n">
        <f aca="false">IFERROR(C10*D10,"")</f>
        <v>7800</v>
      </c>
      <c r="F10" s="15" t="s">
        <v>110</v>
      </c>
      <c r="G10" s="15"/>
      <c r="H10" s="15" t="s">
        <v>108</v>
      </c>
    </row>
    <row r="11" customFormat="false" ht="15" hidden="false" customHeight="false" outlineLevel="0" collapsed="false">
      <c r="A11" s="24" t="n">
        <v>46214</v>
      </c>
      <c r="B11" s="15" t="s">
        <v>50</v>
      </c>
      <c r="C11" s="15" t="n">
        <v>500</v>
      </c>
      <c r="D11" s="16" t="n">
        <v>2.4</v>
      </c>
      <c r="E11" s="21" t="n">
        <f aca="false">IFERROR(C11*D11,"")</f>
        <v>1200</v>
      </c>
      <c r="F11" s="15" t="s">
        <v>111</v>
      </c>
      <c r="G11" s="15"/>
      <c r="H11" s="15" t="s">
        <v>108</v>
      </c>
    </row>
    <row r="12" customFormat="false" ht="15" hidden="false" customHeight="false" outlineLevel="0" collapsed="false">
      <c r="A12" s="24" t="n">
        <v>46214</v>
      </c>
      <c r="B12" s="15" t="s">
        <v>54</v>
      </c>
      <c r="C12" s="15" t="n">
        <v>73</v>
      </c>
      <c r="D12" s="16" t="n">
        <v>79</v>
      </c>
      <c r="E12" s="23" t="n">
        <f aca="false">IFERROR(C12*D12,"")</f>
        <v>5767</v>
      </c>
      <c r="F12" s="15" t="s">
        <v>112</v>
      </c>
      <c r="G12" s="15"/>
      <c r="H12" s="15" t="s">
        <v>108</v>
      </c>
    </row>
    <row r="13" customFormat="false" ht="15" hidden="false" customHeight="false" outlineLevel="0" collapsed="false">
      <c r="A13" s="24" t="n">
        <v>46214</v>
      </c>
      <c r="B13" s="15" t="s">
        <v>54</v>
      </c>
      <c r="C13" s="15" t="n">
        <v>27</v>
      </c>
      <c r="D13" s="16" t="n">
        <v>86</v>
      </c>
      <c r="E13" s="21" t="n">
        <f aca="false">IFERROR(C13*D13,"")</f>
        <v>2322</v>
      </c>
      <c r="F13" s="15" t="s">
        <v>112</v>
      </c>
      <c r="G13" s="15"/>
      <c r="H13" s="15" t="s">
        <v>108</v>
      </c>
    </row>
    <row r="14" customFormat="false" ht="15" hidden="false" customHeight="false" outlineLevel="0" collapsed="false">
      <c r="A14" s="24" t="n">
        <v>46214</v>
      </c>
      <c r="B14" s="15" t="s">
        <v>54</v>
      </c>
      <c r="C14" s="15" t="n">
        <v>100</v>
      </c>
      <c r="D14" s="16" t="n">
        <v>35.58</v>
      </c>
      <c r="E14" s="23" t="n">
        <f aca="false">IFERROR(C14*D14,"")</f>
        <v>3558</v>
      </c>
      <c r="F14" s="15" t="s">
        <v>113</v>
      </c>
      <c r="G14" s="15"/>
      <c r="H14" s="15" t="s">
        <v>108</v>
      </c>
    </row>
    <row r="15" customFormat="false" ht="15" hidden="false" customHeight="false" outlineLevel="0" collapsed="false">
      <c r="A15" s="24" t="n">
        <v>46214</v>
      </c>
      <c r="B15" s="15" t="s">
        <v>56</v>
      </c>
      <c r="C15" s="15" t="n">
        <v>900</v>
      </c>
      <c r="D15" s="16" t="n">
        <v>12</v>
      </c>
      <c r="E15" s="21" t="n">
        <f aca="false">IFERROR(C15*D15,"")</f>
        <v>10800</v>
      </c>
      <c r="F15" s="15" t="s">
        <v>112</v>
      </c>
      <c r="G15" s="15"/>
      <c r="H15" s="15" t="s">
        <v>108</v>
      </c>
    </row>
    <row r="16" customFormat="false" ht="15" hidden="false" customHeight="false" outlineLevel="0" collapsed="false">
      <c r="A16" s="24" t="n">
        <v>46214</v>
      </c>
      <c r="B16" s="15" t="s">
        <v>58</v>
      </c>
      <c r="C16" s="15" t="n">
        <v>100</v>
      </c>
      <c r="D16" s="16" t="n">
        <v>131.77</v>
      </c>
      <c r="E16" s="23" t="n">
        <f aca="false">IFERROR(C16*D16,"")</f>
        <v>13177</v>
      </c>
      <c r="F16" s="15" t="s">
        <v>112</v>
      </c>
      <c r="G16" s="15"/>
      <c r="H16" s="15" t="s">
        <v>108</v>
      </c>
    </row>
    <row r="17" customFormat="false" ht="15" hidden="false" customHeight="false" outlineLevel="0" collapsed="false">
      <c r="A17" s="24" t="n">
        <v>46214</v>
      </c>
      <c r="B17" s="15" t="s">
        <v>58</v>
      </c>
      <c r="C17" s="15" t="n">
        <v>100</v>
      </c>
      <c r="D17" s="16" t="n">
        <v>106.31</v>
      </c>
      <c r="E17" s="21" t="n">
        <f aca="false">IFERROR(C17*D17,"")</f>
        <v>10631</v>
      </c>
      <c r="F17" s="15" t="s">
        <v>113</v>
      </c>
      <c r="G17" s="15"/>
      <c r="H17" s="15" t="s">
        <v>108</v>
      </c>
    </row>
    <row r="18" customFormat="false" ht="15" hidden="false" customHeight="false" outlineLevel="0" collapsed="false">
      <c r="A18" s="24" t="n">
        <v>46214</v>
      </c>
      <c r="B18" s="15" t="s">
        <v>57</v>
      </c>
      <c r="C18" s="15" t="n">
        <v>7</v>
      </c>
      <c r="D18" s="16" t="n">
        <v>400</v>
      </c>
      <c r="E18" s="23" t="n">
        <f aca="false">IFERROR(C18*D18,"")</f>
        <v>2800</v>
      </c>
      <c r="F18" s="15" t="s">
        <v>114</v>
      </c>
      <c r="G18" s="15"/>
      <c r="H18" s="15" t="s">
        <v>108</v>
      </c>
    </row>
    <row r="19" customFormat="false" ht="15" hidden="false" customHeight="false" outlineLevel="0" collapsed="false">
      <c r="A19" s="24" t="n">
        <v>46214</v>
      </c>
      <c r="B19" s="15" t="s">
        <v>55</v>
      </c>
      <c r="C19" s="15" t="n">
        <v>350</v>
      </c>
      <c r="D19" s="16" t="n">
        <v>24</v>
      </c>
      <c r="E19" s="21" t="n">
        <f aca="false">IFERROR(C19*D19,"")</f>
        <v>8400</v>
      </c>
      <c r="F19" s="15" t="s">
        <v>113</v>
      </c>
      <c r="G19" s="15"/>
      <c r="H19" s="15" t="s">
        <v>108</v>
      </c>
    </row>
    <row r="20" customFormat="false" ht="15" hidden="false" customHeight="false" outlineLevel="0" collapsed="false">
      <c r="A20" s="24"/>
      <c r="B20" s="15"/>
      <c r="C20" s="15"/>
      <c r="D20" s="16"/>
      <c r="E20" s="23" t="n">
        <f aca="false">IFERROR(C20*D20,"")</f>
        <v>0</v>
      </c>
      <c r="F20" s="15"/>
      <c r="G20" s="15"/>
      <c r="H20" s="15" t="s">
        <v>115</v>
      </c>
    </row>
    <row r="21" customFormat="false" ht="15.75" hidden="false" customHeight="true" outlineLevel="0" collapsed="false">
      <c r="A21" s="24"/>
      <c r="B21" s="15"/>
      <c r="C21" s="15"/>
      <c r="D21" s="16"/>
      <c r="E21" s="21" t="n">
        <f aca="false">IFERROR(C21*D21,"")</f>
        <v>0</v>
      </c>
      <c r="F21" s="15"/>
      <c r="G21" s="15"/>
      <c r="H21" s="15" t="s">
        <v>115</v>
      </c>
    </row>
    <row r="22" customFormat="false" ht="15.75" hidden="false" customHeight="true" outlineLevel="0" collapsed="false">
      <c r="A22" s="24"/>
      <c r="B22" s="15"/>
      <c r="C22" s="15"/>
      <c r="D22" s="16"/>
      <c r="E22" s="23" t="n">
        <f aca="false">IFERROR(C22*D22,"")</f>
        <v>0</v>
      </c>
      <c r="F22" s="15"/>
      <c r="G22" s="15"/>
      <c r="H22" s="15" t="s">
        <v>115</v>
      </c>
    </row>
    <row r="23" customFormat="false" ht="15.75" hidden="false" customHeight="true" outlineLevel="0" collapsed="false">
      <c r="A23" s="24"/>
      <c r="B23" s="15"/>
      <c r="C23" s="15"/>
      <c r="D23" s="16"/>
      <c r="E23" s="21" t="n">
        <f aca="false">IFERROR(C23*D23,"")</f>
        <v>0</v>
      </c>
      <c r="F23" s="15"/>
      <c r="G23" s="15"/>
      <c r="H23" s="15" t="s">
        <v>115</v>
      </c>
    </row>
    <row r="24" customFormat="false" ht="15.75" hidden="false" customHeight="true" outlineLevel="0" collapsed="false">
      <c r="A24" s="24"/>
      <c r="B24" s="15"/>
      <c r="C24" s="15"/>
      <c r="D24" s="16"/>
      <c r="E24" s="23" t="n">
        <f aca="false">IFERROR(C24*D24,"")</f>
        <v>0</v>
      </c>
      <c r="F24" s="15"/>
      <c r="G24" s="15"/>
      <c r="H24" s="15" t="s">
        <v>115</v>
      </c>
    </row>
    <row r="25" customFormat="false" ht="15.75" hidden="false" customHeight="true" outlineLevel="0" collapsed="false">
      <c r="A25" s="24"/>
      <c r="B25" s="15"/>
      <c r="C25" s="15"/>
      <c r="D25" s="16"/>
      <c r="E25" s="21" t="n">
        <f aca="false">IFERROR(C25*D25,"")</f>
        <v>0</v>
      </c>
      <c r="F25" s="15"/>
      <c r="G25" s="15"/>
      <c r="H25" s="15" t="s">
        <v>115</v>
      </c>
    </row>
    <row r="26" customFormat="false" ht="15.75" hidden="false" customHeight="true" outlineLevel="0" collapsed="false">
      <c r="A26" s="24"/>
      <c r="B26" s="15"/>
      <c r="C26" s="15"/>
      <c r="D26" s="16"/>
      <c r="E26" s="23" t="n">
        <f aca="false">IFERROR(C26*D26,"")</f>
        <v>0</v>
      </c>
      <c r="F26" s="15"/>
      <c r="G26" s="15"/>
      <c r="H26" s="15" t="s">
        <v>115</v>
      </c>
    </row>
    <row r="27" customFormat="false" ht="15.75" hidden="false" customHeight="true" outlineLevel="0" collapsed="false">
      <c r="A27" s="24"/>
      <c r="B27" s="15"/>
      <c r="C27" s="15"/>
      <c r="D27" s="16"/>
      <c r="E27" s="21" t="n">
        <f aca="false">IFERROR(C27*D27,"")</f>
        <v>0</v>
      </c>
      <c r="F27" s="15"/>
      <c r="G27" s="15"/>
      <c r="H27" s="15" t="s">
        <v>115</v>
      </c>
    </row>
    <row r="28" customFormat="false" ht="15.75" hidden="false" customHeight="true" outlineLevel="0" collapsed="false">
      <c r="A28" s="24"/>
      <c r="B28" s="15"/>
      <c r="C28" s="15"/>
      <c r="D28" s="16"/>
      <c r="E28" s="23" t="n">
        <f aca="false">IFERROR(C28*D28,"")</f>
        <v>0</v>
      </c>
      <c r="F28" s="15"/>
      <c r="G28" s="15"/>
      <c r="H28" s="15" t="s">
        <v>115</v>
      </c>
    </row>
    <row r="29" customFormat="false" ht="15.75" hidden="false" customHeight="true" outlineLevel="0" collapsed="false">
      <c r="A29" s="24"/>
      <c r="B29" s="15"/>
      <c r="C29" s="15"/>
      <c r="D29" s="16"/>
      <c r="E29" s="21" t="n">
        <f aca="false">IFERROR(C29*D29,"")</f>
        <v>0</v>
      </c>
      <c r="F29" s="15"/>
      <c r="G29" s="15"/>
      <c r="H29" s="15" t="s">
        <v>115</v>
      </c>
    </row>
    <row r="30" customFormat="false" ht="15.75" hidden="false" customHeight="true" outlineLevel="0" collapsed="false">
      <c r="A30" s="24"/>
      <c r="B30" s="15"/>
      <c r="C30" s="15"/>
      <c r="D30" s="16"/>
      <c r="E30" s="23" t="n">
        <f aca="false">IFERROR(C30*D30,"")</f>
        <v>0</v>
      </c>
      <c r="F30" s="15"/>
      <c r="G30" s="15"/>
      <c r="H30" s="15" t="s">
        <v>115</v>
      </c>
    </row>
    <row r="31" customFormat="false" ht="15.75" hidden="false" customHeight="true" outlineLevel="0" collapsed="false">
      <c r="A31" s="24"/>
      <c r="B31" s="15"/>
      <c r="C31" s="15"/>
      <c r="D31" s="16"/>
      <c r="E31" s="21" t="n">
        <f aca="false">IFERROR(C31*D31,"")</f>
        <v>0</v>
      </c>
      <c r="F31" s="15"/>
      <c r="G31" s="15"/>
      <c r="H31" s="15" t="s">
        <v>115</v>
      </c>
    </row>
    <row r="32" customFormat="false" ht="15.75" hidden="false" customHeight="true" outlineLevel="0" collapsed="false">
      <c r="A32" s="24"/>
      <c r="B32" s="15"/>
      <c r="C32" s="15"/>
      <c r="D32" s="16"/>
      <c r="E32" s="23" t="n">
        <f aca="false">IFERROR(C32*D32,"")</f>
        <v>0</v>
      </c>
      <c r="F32" s="15"/>
      <c r="G32" s="15"/>
      <c r="H32" s="15" t="s">
        <v>115</v>
      </c>
    </row>
    <row r="33" customFormat="false" ht="15.75" hidden="false" customHeight="true" outlineLevel="0" collapsed="false">
      <c r="A33" s="24"/>
      <c r="B33" s="15"/>
      <c r="C33" s="15"/>
      <c r="D33" s="16"/>
      <c r="E33" s="21" t="n">
        <f aca="false">IFERROR(C33*D33,"")</f>
        <v>0</v>
      </c>
      <c r="F33" s="15"/>
      <c r="G33" s="15"/>
      <c r="H33" s="15" t="s">
        <v>115</v>
      </c>
    </row>
    <row r="34" customFormat="false" ht="15.75" hidden="false" customHeight="true" outlineLevel="0" collapsed="false">
      <c r="A34" s="24"/>
      <c r="B34" s="15"/>
      <c r="C34" s="15"/>
      <c r="D34" s="16"/>
      <c r="E34" s="23" t="n">
        <f aca="false">IFERROR(C34*D34,"")</f>
        <v>0</v>
      </c>
      <c r="F34" s="15"/>
      <c r="G34" s="15"/>
      <c r="H34" s="15" t="s">
        <v>115</v>
      </c>
    </row>
    <row r="35" customFormat="false" ht="15.75" hidden="false" customHeight="true" outlineLevel="0" collapsed="false">
      <c r="A35" s="24"/>
      <c r="B35" s="15"/>
      <c r="C35" s="15"/>
      <c r="D35" s="16"/>
      <c r="E35" s="21" t="n">
        <f aca="false">IFERROR(C35*D35,"")</f>
        <v>0</v>
      </c>
      <c r="F35" s="15"/>
      <c r="G35" s="15"/>
      <c r="H35" s="15" t="s">
        <v>115</v>
      </c>
    </row>
    <row r="36" customFormat="false" ht="15.75" hidden="false" customHeight="true" outlineLevel="0" collapsed="false">
      <c r="A36" s="24"/>
      <c r="B36" s="15"/>
      <c r="C36" s="15"/>
      <c r="D36" s="16"/>
      <c r="E36" s="23" t="n">
        <f aca="false">IFERROR(C36*D36,"")</f>
        <v>0</v>
      </c>
      <c r="F36" s="15"/>
      <c r="G36" s="15"/>
      <c r="H36" s="15" t="s">
        <v>115</v>
      </c>
    </row>
    <row r="37" customFormat="false" ht="15.75" hidden="false" customHeight="true" outlineLevel="0" collapsed="false">
      <c r="A37" s="24"/>
      <c r="B37" s="15"/>
      <c r="C37" s="15"/>
      <c r="D37" s="16"/>
      <c r="E37" s="21" t="n">
        <f aca="false">IFERROR(C37*D37,"")</f>
        <v>0</v>
      </c>
      <c r="F37" s="15"/>
      <c r="G37" s="15"/>
      <c r="H37" s="15" t="s">
        <v>115</v>
      </c>
    </row>
    <row r="38" customFormat="false" ht="15.75" hidden="false" customHeight="true" outlineLevel="0" collapsed="false">
      <c r="A38" s="24"/>
      <c r="B38" s="15"/>
      <c r="C38" s="15"/>
      <c r="D38" s="16"/>
      <c r="E38" s="23" t="n">
        <f aca="false">IFERROR(C38*D38,"")</f>
        <v>0</v>
      </c>
      <c r="F38" s="15"/>
      <c r="G38" s="15"/>
      <c r="H38" s="15" t="s">
        <v>115</v>
      </c>
    </row>
    <row r="39" customFormat="false" ht="15.75" hidden="false" customHeight="true" outlineLevel="0" collapsed="false">
      <c r="A39" s="24"/>
      <c r="B39" s="15"/>
      <c r="C39" s="15"/>
      <c r="D39" s="16"/>
      <c r="E39" s="21" t="n">
        <f aca="false">IFERROR(C39*D39,"")</f>
        <v>0</v>
      </c>
      <c r="F39" s="15"/>
      <c r="G39" s="15"/>
      <c r="H39" s="15" t="s">
        <v>115</v>
      </c>
    </row>
    <row r="40" customFormat="false" ht="15.75" hidden="false" customHeight="true" outlineLevel="0" collapsed="false">
      <c r="A40" s="24"/>
      <c r="B40" s="15"/>
      <c r="C40" s="15"/>
      <c r="D40" s="16"/>
      <c r="E40" s="23" t="n">
        <f aca="false">IFERROR(C40*D40,"")</f>
        <v>0</v>
      </c>
      <c r="F40" s="15"/>
      <c r="G40" s="15"/>
      <c r="H40" s="15" t="s">
        <v>115</v>
      </c>
    </row>
    <row r="41" customFormat="false" ht="15.75" hidden="false" customHeight="true" outlineLevel="0" collapsed="false">
      <c r="A41" s="24"/>
      <c r="B41" s="15"/>
      <c r="C41" s="15"/>
      <c r="D41" s="16"/>
      <c r="E41" s="21" t="n">
        <f aca="false">IFERROR(C41*D41,"")</f>
        <v>0</v>
      </c>
      <c r="F41" s="15"/>
      <c r="G41" s="15"/>
      <c r="H41" s="15" t="s">
        <v>115</v>
      </c>
    </row>
    <row r="42" customFormat="false" ht="15.75" hidden="false" customHeight="true" outlineLevel="0" collapsed="false">
      <c r="A42" s="24"/>
      <c r="B42" s="15"/>
      <c r="C42" s="15"/>
      <c r="D42" s="16"/>
      <c r="E42" s="23" t="n">
        <f aca="false">IFERROR(C42*D42,"")</f>
        <v>0</v>
      </c>
      <c r="F42" s="15"/>
      <c r="G42" s="15"/>
      <c r="H42" s="15" t="s">
        <v>115</v>
      </c>
    </row>
    <row r="43" customFormat="false" ht="15.75" hidden="false" customHeight="true" outlineLevel="0" collapsed="false">
      <c r="A43" s="24"/>
      <c r="B43" s="15"/>
      <c r="C43" s="15"/>
      <c r="D43" s="16"/>
      <c r="E43" s="21" t="n">
        <f aca="false">IFERROR(C43*D43,"")</f>
        <v>0</v>
      </c>
      <c r="F43" s="15"/>
      <c r="G43" s="15"/>
      <c r="H43" s="15" t="s">
        <v>115</v>
      </c>
    </row>
    <row r="44" customFormat="false" ht="15.75" hidden="false" customHeight="true" outlineLevel="0" collapsed="false">
      <c r="A44" s="24"/>
      <c r="B44" s="15"/>
      <c r="C44" s="15"/>
      <c r="D44" s="16"/>
      <c r="E44" s="23" t="n">
        <f aca="false">IFERROR(C44*D44,"")</f>
        <v>0</v>
      </c>
      <c r="F44" s="15"/>
      <c r="G44" s="15"/>
      <c r="H44" s="15" t="s">
        <v>115</v>
      </c>
    </row>
    <row r="45" customFormat="false" ht="15.75" hidden="false" customHeight="true" outlineLevel="0" collapsed="false"/>
    <row r="46" customFormat="false" ht="15.75" hidden="false" customHeight="true" outlineLevel="0" collapsed="false">
      <c r="A46" s="9" t="s">
        <v>116</v>
      </c>
      <c r="B46" s="9"/>
      <c r="C46" s="9"/>
      <c r="D46" s="9"/>
      <c r="E46" s="9"/>
      <c r="F46" s="9"/>
      <c r="G46" s="9"/>
      <c r="H46" s="9"/>
    </row>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1:H1"/>
    <mergeCell ref="A2:H2"/>
    <mergeCell ref="A46:H46"/>
  </mergeCells>
  <conditionalFormatting sqref="H5:H44">
    <cfRule type="expression" priority="2" aboveAverage="0" equalAverage="0" bottom="0" percent="0" rank="0" text="" dxfId="4">
      <formula>H5="No"</formula>
    </cfRule>
  </conditionalFormatting>
  <dataValidations count="2">
    <dataValidation allowBlank="true" errorStyle="stop" operator="between" showDropDown="false" showErrorMessage="false" showInputMessage="false" sqref="B5:B44" type="list">
      <formula1>Stock!$A$5:$A$19</formula1>
      <formula2>0</formula2>
    </dataValidation>
    <dataValidation allowBlank="true" errorStyle="stop" operator="between" showDropDown="false" showErrorMessage="false" showInputMessage="false" sqref="H5:H44"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E5" activeCellId="0" sqref="E5"/>
    </sheetView>
  </sheetViews>
  <sheetFormatPr defaultColWidth="14.433593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20"/>
    <col collapsed="false" customWidth="true" hidden="false" outlineLevel="0" max="4" min="4" style="0" width="12"/>
    <col collapsed="false" customWidth="true" hidden="false" outlineLevel="0" max="19" min="5" style="0" width="11"/>
    <col collapsed="false" customWidth="true" hidden="false" outlineLevel="0" max="20" min="20" style="0" width="13"/>
    <col collapsed="false" customWidth="true" hidden="false" outlineLevel="0" max="23" min="21" style="0" width="12"/>
    <col collapsed="false" customWidth="true" hidden="false" outlineLevel="0" max="24" min="24" style="0" width="13"/>
    <col collapsed="false" customWidth="true" hidden="false" outlineLevel="0" max="25" min="25" style="0" width="26"/>
    <col collapsed="false" customWidth="true" hidden="false" outlineLevel="0" max="26" min="26" style="0" width="8.71"/>
  </cols>
  <sheetData>
    <row r="1" customFormat="false" ht="27.75" hidden="false" customHeight="true" outlineLevel="0" collapsed="false">
      <c r="A1" s="13" t="s">
        <v>117</v>
      </c>
      <c r="B1" s="13"/>
      <c r="C1" s="13"/>
      <c r="D1" s="13"/>
      <c r="E1" s="13"/>
      <c r="F1" s="13"/>
      <c r="G1" s="13"/>
      <c r="H1" s="13"/>
      <c r="I1" s="13"/>
      <c r="J1" s="13"/>
      <c r="K1" s="13"/>
      <c r="L1" s="13"/>
      <c r="M1" s="13"/>
      <c r="N1" s="13"/>
      <c r="O1" s="13"/>
      <c r="P1" s="13"/>
      <c r="Q1" s="13"/>
      <c r="R1" s="13"/>
      <c r="S1" s="13"/>
      <c r="T1" s="13"/>
      <c r="U1" s="13"/>
      <c r="V1" s="13"/>
      <c r="W1" s="13"/>
      <c r="X1" s="13"/>
      <c r="Y1" s="13"/>
    </row>
    <row r="2" customFormat="false" ht="30" hidden="false" customHeight="true" outlineLevel="0" collapsed="false">
      <c r="A2" s="9" t="s">
        <v>118</v>
      </c>
      <c r="B2" s="9"/>
      <c r="C2" s="9"/>
      <c r="D2" s="9"/>
      <c r="E2" s="9"/>
      <c r="F2" s="9"/>
      <c r="G2" s="9"/>
      <c r="H2" s="9"/>
      <c r="I2" s="9"/>
      <c r="J2" s="9"/>
      <c r="K2" s="9"/>
      <c r="L2" s="9"/>
      <c r="M2" s="9"/>
      <c r="N2" s="9"/>
      <c r="O2" s="9"/>
      <c r="P2" s="9"/>
      <c r="Q2" s="9"/>
      <c r="R2" s="9"/>
      <c r="S2" s="9"/>
      <c r="T2" s="9"/>
      <c r="U2" s="9"/>
      <c r="V2" s="9"/>
      <c r="W2" s="9"/>
      <c r="X2" s="9"/>
      <c r="Y2" s="9"/>
    </row>
    <row r="4" customFormat="false" ht="33.75" hidden="false" customHeight="true" outlineLevel="0" collapsed="false">
      <c r="A4" s="14" t="s">
        <v>63</v>
      </c>
      <c r="B4" s="14" t="s">
        <v>119</v>
      </c>
      <c r="C4" s="14" t="s">
        <v>26</v>
      </c>
      <c r="D4" s="14" t="s">
        <v>120</v>
      </c>
      <c r="E4" s="14" t="s">
        <v>121</v>
      </c>
      <c r="F4" s="14" t="s">
        <v>122</v>
      </c>
      <c r="G4" s="14" t="s">
        <v>123</v>
      </c>
      <c r="H4" s="14" t="s">
        <v>124</v>
      </c>
      <c r="I4" s="14" t="s">
        <v>125</v>
      </c>
      <c r="J4" s="14" t="s">
        <v>126</v>
      </c>
      <c r="K4" s="14" t="s">
        <v>127</v>
      </c>
      <c r="L4" s="14" t="s">
        <v>128</v>
      </c>
      <c r="M4" s="14" t="s">
        <v>129</v>
      </c>
      <c r="N4" s="14" t="s">
        <v>130</v>
      </c>
      <c r="O4" s="14" t="s">
        <v>131</v>
      </c>
      <c r="P4" s="14" t="s">
        <v>132</v>
      </c>
      <c r="Q4" s="14" t="s">
        <v>133</v>
      </c>
      <c r="R4" s="14" t="s">
        <v>134</v>
      </c>
      <c r="S4" s="14" t="s">
        <v>135</v>
      </c>
      <c r="T4" s="14" t="s">
        <v>136</v>
      </c>
      <c r="U4" s="14" t="s">
        <v>137</v>
      </c>
      <c r="V4" s="14" t="s">
        <v>138</v>
      </c>
      <c r="W4" s="14" t="s">
        <v>139</v>
      </c>
      <c r="X4" s="14" t="s">
        <v>140</v>
      </c>
      <c r="Y4" s="14" t="s">
        <v>31</v>
      </c>
    </row>
    <row r="5" customFormat="false" ht="15" hidden="false" customHeight="false" outlineLevel="0" collapsed="false">
      <c r="A5" s="24"/>
      <c r="B5" s="15"/>
      <c r="C5" s="15" t="s">
        <v>32</v>
      </c>
      <c r="D5" s="15" t="s">
        <v>115</v>
      </c>
      <c r="E5" s="25"/>
      <c r="F5" s="25"/>
      <c r="G5" s="25"/>
      <c r="H5" s="25"/>
      <c r="I5" s="25"/>
      <c r="J5" s="25"/>
      <c r="K5" s="25"/>
      <c r="L5" s="25"/>
      <c r="M5" s="25"/>
      <c r="N5" s="25"/>
      <c r="O5" s="25"/>
      <c r="P5" s="25"/>
      <c r="Q5" s="25"/>
      <c r="R5" s="25"/>
      <c r="S5" s="25"/>
      <c r="T5" s="26" t="n">
        <f aca="false">IF(C5="","",IFERROR(E5*Stock!$I$5+F5*Stock!$I$6+G5*Stock!$I$7+H5*Stock!$I$8+I5*Stock!$I$9+J5*Stock!$I$10+K5*Stock!$I$11+L5*Stock!$I$12+M5*Stock!$I$13+N5*Stock!$I$14+O5*Stock!$I$15+P5*Stock!$I$16+Q5*Stock!$I$17+R5*Stock!$I$18+S5*Stock!$I$19,""))</f>
        <v>0</v>
      </c>
      <c r="U5" s="27"/>
      <c r="V5" s="28"/>
      <c r="W5" s="26" t="str">
        <f aca="false">IF(C5="","",IFERROR(T5/V5,""))</f>
        <v/>
      </c>
      <c r="X5" s="26" t="str">
        <f aca="false">IF(C5="","",IFERROR(T5/U5,""))</f>
        <v/>
      </c>
      <c r="Y5" s="15"/>
    </row>
    <row r="6" customFormat="false" ht="15" hidden="false" customHeight="false" outlineLevel="0" collapsed="false">
      <c r="A6" s="24" t="n">
        <v>46215</v>
      </c>
      <c r="B6" s="15" t="s">
        <v>141</v>
      </c>
      <c r="C6" s="15" t="s">
        <v>32</v>
      </c>
      <c r="D6" s="15" t="s">
        <v>108</v>
      </c>
      <c r="E6" s="29" t="n">
        <v>15</v>
      </c>
      <c r="F6" s="29" t="n">
        <v>12</v>
      </c>
      <c r="G6" s="29" t="n">
        <v>24</v>
      </c>
      <c r="H6" s="29" t="n">
        <v>100</v>
      </c>
      <c r="I6" s="29" t="n">
        <v>200</v>
      </c>
      <c r="J6" s="29" t="n">
        <v>80</v>
      </c>
      <c r="K6" s="29" t="n">
        <v>25</v>
      </c>
      <c r="L6" s="29" t="n">
        <v>25</v>
      </c>
      <c r="M6" s="29" t="n">
        <v>75</v>
      </c>
      <c r="N6" s="29" t="n">
        <v>2</v>
      </c>
      <c r="O6" s="29" t="n">
        <v>4</v>
      </c>
      <c r="P6" s="29" t="n">
        <v>25</v>
      </c>
      <c r="Q6" s="25"/>
      <c r="R6" s="25"/>
      <c r="S6" s="25"/>
      <c r="T6" s="26" t="n">
        <f aca="false">IF(C6="","",IFERROR(E6*Stock!$I$5+F6*Stock!$I$6+G6*Stock!$I$7+H6*Stock!$I$8+I6*Stock!$I$9+J6*Stock!$I$10+K6*Stock!$I$11+L6*Stock!$I$12+M6*Stock!$I$13+N6*Stock!$I$14+O6*Stock!$I$15+P6*Stock!$I$16+Q6*Stock!$I$17+R6*Stock!$I$18+S6*Stock!$I$19,""))</f>
        <v>147232.75</v>
      </c>
      <c r="U6" s="30" t="n">
        <v>25</v>
      </c>
      <c r="V6" s="31" t="s">
        <v>142</v>
      </c>
      <c r="W6" s="26" t="str">
        <f aca="false">IF(C6="","",IFERROR(T6/V6,""))</f>
        <v/>
      </c>
      <c r="X6" s="26" t="n">
        <f aca="false">IF(C6="","",IFERROR(T6/U6,""))</f>
        <v>5889.31</v>
      </c>
      <c r="Y6" s="15"/>
    </row>
    <row r="7" customFormat="false" ht="15" hidden="false" customHeight="false" outlineLevel="0" collapsed="false">
      <c r="A7" s="24" t="n">
        <v>46217</v>
      </c>
      <c r="B7" s="15" t="s">
        <v>143</v>
      </c>
      <c r="C7" s="15" t="s">
        <v>32</v>
      </c>
      <c r="D7" s="15" t="s">
        <v>108</v>
      </c>
      <c r="E7" s="29" t="n">
        <v>15</v>
      </c>
      <c r="F7" s="29" t="n">
        <v>8</v>
      </c>
      <c r="G7" s="29" t="n">
        <v>24</v>
      </c>
      <c r="H7" s="29" t="n">
        <v>100</v>
      </c>
      <c r="I7" s="29" t="n">
        <v>200</v>
      </c>
      <c r="J7" s="29" t="n">
        <v>80</v>
      </c>
      <c r="K7" s="29" t="n">
        <v>22</v>
      </c>
      <c r="L7" s="29" t="n">
        <v>22</v>
      </c>
      <c r="M7" s="29" t="n">
        <v>66</v>
      </c>
      <c r="N7" s="29" t="n">
        <v>1</v>
      </c>
      <c r="O7" s="29" t="n">
        <v>4</v>
      </c>
      <c r="P7" s="29" t="n">
        <v>22</v>
      </c>
      <c r="Q7" s="25"/>
      <c r="R7" s="25"/>
      <c r="S7" s="25"/>
      <c r="T7" s="26" t="n">
        <f aca="false">IF(C7="","",IFERROR(E7*Stock!$I$5+F7*Stock!$I$6+G7*Stock!$I$7+H7*Stock!$I$8+I7*Stock!$I$9+J7*Stock!$I$10+K7*Stock!$I$11+L7*Stock!$I$12+M7*Stock!$I$13+N7*Stock!$I$14+O7*Stock!$I$15+P7*Stock!$I$16+Q7*Stock!$I$17+R7*Stock!$I$18+S7*Stock!$I$19,""))</f>
        <v>140497.62</v>
      </c>
      <c r="U7" s="30" t="n">
        <v>22</v>
      </c>
      <c r="V7" s="31" t="s">
        <v>144</v>
      </c>
      <c r="W7" s="26" t="str">
        <f aca="false">IF(C7="","",IFERROR(T7/V7,""))</f>
        <v/>
      </c>
      <c r="X7" s="26" t="n">
        <f aca="false">IF(C7="","",IFERROR(T7/U7,""))</f>
        <v>6386.25545454545</v>
      </c>
      <c r="Y7" s="15"/>
    </row>
    <row r="8" customFormat="false" ht="15" hidden="false" customHeight="false" outlineLevel="0" collapsed="false">
      <c r="A8" s="24" t="n">
        <v>46221</v>
      </c>
      <c r="B8" s="15" t="s">
        <v>145</v>
      </c>
      <c r="C8" s="15" t="s">
        <v>32</v>
      </c>
      <c r="D8" s="15" t="s">
        <v>115</v>
      </c>
      <c r="E8" s="25" t="n">
        <v>15</v>
      </c>
      <c r="F8" s="25" t="n">
        <v>10</v>
      </c>
      <c r="G8" s="25" t="n">
        <v>22</v>
      </c>
      <c r="H8" s="25" t="n">
        <f aca="false">115+50</f>
        <v>165</v>
      </c>
      <c r="I8" s="25" t="n">
        <f aca="false">85+40</f>
        <v>125</v>
      </c>
      <c r="J8" s="25" t="n">
        <f aca="false">200+100</f>
        <v>300</v>
      </c>
      <c r="K8" s="25" t="n">
        <v>24</v>
      </c>
      <c r="L8" s="25" t="n">
        <v>24</v>
      </c>
      <c r="M8" s="25" t="n">
        <f aca="false">5*24</f>
        <v>120</v>
      </c>
      <c r="N8" s="25" t="n">
        <v>1</v>
      </c>
      <c r="O8" s="25" t="n">
        <v>2</v>
      </c>
      <c r="P8" s="25" t="n">
        <v>24</v>
      </c>
      <c r="Q8" s="25"/>
      <c r="R8" s="25"/>
      <c r="S8" s="25"/>
      <c r="T8" s="26" t="n">
        <f aca="false">IF(C8="","",IFERROR(E8*Stock!$I$5+F8*Stock!$I$6+G8*Stock!$I$7+H8*Stock!$I$8+I8*Stock!$I$9+J8*Stock!$I$10+K8*Stock!$I$11+L8*Stock!$I$12+M8*Stock!$I$13+N8*Stock!$I$14+O8*Stock!$I$15+P8*Stock!$I$16+Q8*Stock!$I$17+R8*Stock!$I$18+S8*Stock!$I$19,""))</f>
        <v>145002.54</v>
      </c>
      <c r="U8" s="27" t="n">
        <v>24</v>
      </c>
      <c r="V8" s="28"/>
      <c r="W8" s="26" t="str">
        <f aca="false">IF(C8="","",IFERROR(T8/V8,""))</f>
        <v/>
      </c>
      <c r="X8" s="26" t="n">
        <f aca="false">IF(C8="","",IFERROR(T8/U8,""))</f>
        <v>6041.7725</v>
      </c>
      <c r="Y8" s="15"/>
    </row>
    <row r="9" customFormat="false" ht="15" hidden="false" customHeight="false" outlineLevel="0" collapsed="false">
      <c r="A9" s="24"/>
      <c r="B9" s="15"/>
      <c r="C9" s="15" t="s">
        <v>32</v>
      </c>
      <c r="D9" s="15" t="s">
        <v>115</v>
      </c>
      <c r="E9" s="25"/>
      <c r="F9" s="25"/>
      <c r="G9" s="25"/>
      <c r="H9" s="25"/>
      <c r="I9" s="25"/>
      <c r="J9" s="25"/>
      <c r="K9" s="25"/>
      <c r="L9" s="25"/>
      <c r="M9" s="25"/>
      <c r="N9" s="25"/>
      <c r="O9" s="25"/>
      <c r="P9" s="25"/>
      <c r="Q9" s="25"/>
      <c r="R9" s="25"/>
      <c r="S9" s="25"/>
      <c r="T9" s="26" t="n">
        <f aca="false">IF(C9="","",IFERROR(E9*Stock!$I$5+F9*Stock!$I$6+G9*Stock!$I$7+H9*Stock!$I$8+I9*Stock!$I$9+J9*Stock!$I$10+K9*Stock!$I$11+L9*Stock!$I$12+M9*Stock!$I$13+N9*Stock!$I$14+O9*Stock!$I$15+P9*Stock!$I$16+Q9*Stock!$I$17+R9*Stock!$I$18+S9*Stock!$I$19,""))</f>
        <v>0</v>
      </c>
      <c r="U9" s="27"/>
      <c r="V9" s="28"/>
      <c r="W9" s="26" t="str">
        <f aca="false">IF(C9="","",IFERROR(T9/V9,""))</f>
        <v/>
      </c>
      <c r="X9" s="26" t="str">
        <f aca="false">IF(C9="","",IFERROR(T9/U9,""))</f>
        <v/>
      </c>
      <c r="Y9" s="15"/>
    </row>
    <row r="10" customFormat="false" ht="15" hidden="false" customHeight="false" outlineLevel="0" collapsed="false">
      <c r="A10" s="24"/>
      <c r="B10" s="15"/>
      <c r="C10" s="15" t="s">
        <v>32</v>
      </c>
      <c r="D10" s="15" t="s">
        <v>115</v>
      </c>
      <c r="E10" s="25"/>
      <c r="F10" s="25"/>
      <c r="G10" s="25"/>
      <c r="H10" s="25"/>
      <c r="I10" s="25"/>
      <c r="J10" s="25"/>
      <c r="K10" s="25"/>
      <c r="L10" s="25"/>
      <c r="M10" s="25"/>
      <c r="N10" s="25"/>
      <c r="O10" s="25"/>
      <c r="P10" s="25"/>
      <c r="Q10" s="25"/>
      <c r="R10" s="25"/>
      <c r="S10" s="25"/>
      <c r="T10" s="26" t="n">
        <f aca="false">IF(C10="","",IFERROR(E10*Stock!$I$5+F10*Stock!$I$6+G10*Stock!$I$7+H10*Stock!$I$8+I10*Stock!$I$9+J10*Stock!$I$10+K10*Stock!$I$11+L10*Stock!$I$12+M10*Stock!$I$13+N10*Stock!$I$14+O10*Stock!$I$15+P10*Stock!$I$16+Q10*Stock!$I$17+R10*Stock!$I$18+S10*Stock!$I$19,""))</f>
        <v>0</v>
      </c>
      <c r="U10" s="27"/>
      <c r="V10" s="28"/>
      <c r="W10" s="26" t="str">
        <f aca="false">IF(C10="","",IFERROR(T10/V10,""))</f>
        <v/>
      </c>
      <c r="X10" s="26" t="str">
        <f aca="false">IF(C10="","",IFERROR(T10/U10,""))</f>
        <v/>
      </c>
      <c r="Y10" s="15"/>
    </row>
    <row r="11" customFormat="false" ht="15" hidden="false" customHeight="false" outlineLevel="0" collapsed="false">
      <c r="A11" s="24"/>
      <c r="B11" s="15"/>
      <c r="C11" s="15" t="s">
        <v>32</v>
      </c>
      <c r="D11" s="15" t="s">
        <v>115</v>
      </c>
      <c r="E11" s="25"/>
      <c r="F11" s="25"/>
      <c r="G11" s="25"/>
      <c r="H11" s="25"/>
      <c r="I11" s="25"/>
      <c r="J11" s="25"/>
      <c r="K11" s="25"/>
      <c r="L11" s="25"/>
      <c r="M11" s="25"/>
      <c r="N11" s="25"/>
      <c r="O11" s="25"/>
      <c r="P11" s="25"/>
      <c r="Q11" s="25"/>
      <c r="R11" s="25"/>
      <c r="S11" s="25"/>
      <c r="T11" s="26" t="n">
        <f aca="false">IF(C11="","",IFERROR(E11*Stock!$I$5+F11*Stock!$I$6+G11*Stock!$I$7+H11*Stock!$I$8+I11*Stock!$I$9+J11*Stock!$I$10+K11*Stock!$I$11+L11*Stock!$I$12+M11*Stock!$I$13+N11*Stock!$I$14+O11*Stock!$I$15+P11*Stock!$I$16+Q11*Stock!$I$17+R11*Stock!$I$18+S11*Stock!$I$19,""))</f>
        <v>0</v>
      </c>
      <c r="U11" s="27"/>
      <c r="V11" s="28"/>
      <c r="W11" s="26" t="str">
        <f aca="false">IF(C11="","",IFERROR(T11/V11,""))</f>
        <v/>
      </c>
      <c r="X11" s="26" t="str">
        <f aca="false">IF(C11="","",IFERROR(T11/U11,""))</f>
        <v/>
      </c>
      <c r="Y11" s="15"/>
    </row>
    <row r="12" customFormat="false" ht="15" hidden="false" customHeight="false" outlineLevel="0" collapsed="false">
      <c r="A12" s="24"/>
      <c r="B12" s="15"/>
      <c r="C12" s="15" t="s">
        <v>32</v>
      </c>
      <c r="D12" s="15" t="s">
        <v>115</v>
      </c>
      <c r="E12" s="25"/>
      <c r="F12" s="25"/>
      <c r="G12" s="25"/>
      <c r="H12" s="25"/>
      <c r="I12" s="25"/>
      <c r="J12" s="25"/>
      <c r="K12" s="25"/>
      <c r="L12" s="25"/>
      <c r="M12" s="25"/>
      <c r="N12" s="25"/>
      <c r="O12" s="25"/>
      <c r="P12" s="25"/>
      <c r="Q12" s="25"/>
      <c r="R12" s="25"/>
      <c r="S12" s="25"/>
      <c r="T12" s="26" t="n">
        <f aca="false">IF(C12="","",IFERROR(E12*Stock!$I$5+F12*Stock!$I$6+G12*Stock!$I$7+H12*Stock!$I$8+I12*Stock!$I$9+J12*Stock!$I$10+K12*Stock!$I$11+L12*Stock!$I$12+M12*Stock!$I$13+N12*Stock!$I$14+O12*Stock!$I$15+P12*Stock!$I$16+Q12*Stock!$I$17+R12*Stock!$I$18+S12*Stock!$I$19,""))</f>
        <v>0</v>
      </c>
      <c r="U12" s="27"/>
      <c r="V12" s="28"/>
      <c r="W12" s="26" t="str">
        <f aca="false">IF(C12="","",IFERROR(T12/V12,""))</f>
        <v/>
      </c>
      <c r="X12" s="26" t="str">
        <f aca="false">IF(C12="","",IFERROR(T12/U12,""))</f>
        <v/>
      </c>
      <c r="Y12" s="15"/>
    </row>
    <row r="13" customFormat="false" ht="15" hidden="false" customHeight="false" outlineLevel="0" collapsed="false">
      <c r="A13" s="24"/>
      <c r="B13" s="15"/>
      <c r="C13" s="15" t="s">
        <v>32</v>
      </c>
      <c r="D13" s="15" t="s">
        <v>115</v>
      </c>
      <c r="E13" s="25"/>
      <c r="F13" s="25"/>
      <c r="G13" s="25"/>
      <c r="H13" s="25"/>
      <c r="I13" s="25"/>
      <c r="J13" s="25"/>
      <c r="K13" s="25"/>
      <c r="L13" s="25"/>
      <c r="M13" s="25"/>
      <c r="N13" s="25"/>
      <c r="O13" s="25"/>
      <c r="P13" s="25"/>
      <c r="Q13" s="25"/>
      <c r="R13" s="25"/>
      <c r="S13" s="25"/>
      <c r="T13" s="26" t="n">
        <f aca="false">IF(C13="","",IFERROR(E13*Stock!$I$5+F13*Stock!$I$6+G13*Stock!$I$7+H13*Stock!$I$8+I13*Stock!$I$9+J13*Stock!$I$10+K13*Stock!$I$11+L13*Stock!$I$12+M13*Stock!$I$13+N13*Stock!$I$14+O13*Stock!$I$15+P13*Stock!$I$16+Q13*Stock!$I$17+R13*Stock!$I$18+S13*Stock!$I$19,""))</f>
        <v>0</v>
      </c>
      <c r="U13" s="27"/>
      <c r="V13" s="28"/>
      <c r="W13" s="26" t="str">
        <f aca="false">IF(C13="","",IFERROR(T13/V13,""))</f>
        <v/>
      </c>
      <c r="X13" s="26" t="str">
        <f aca="false">IF(C13="","",IFERROR(T13/U13,""))</f>
        <v/>
      </c>
      <c r="Y13" s="15"/>
    </row>
    <row r="14" customFormat="false" ht="15" hidden="false" customHeight="false" outlineLevel="0" collapsed="false">
      <c r="A14" s="24"/>
      <c r="B14" s="15"/>
      <c r="C14" s="15" t="s">
        <v>32</v>
      </c>
      <c r="D14" s="15" t="s">
        <v>115</v>
      </c>
      <c r="E14" s="25"/>
      <c r="F14" s="25"/>
      <c r="G14" s="25"/>
      <c r="H14" s="25"/>
      <c r="I14" s="25"/>
      <c r="J14" s="25"/>
      <c r="K14" s="25"/>
      <c r="L14" s="25"/>
      <c r="M14" s="25"/>
      <c r="N14" s="25"/>
      <c r="O14" s="25"/>
      <c r="P14" s="25"/>
      <c r="Q14" s="25"/>
      <c r="R14" s="25"/>
      <c r="S14" s="25"/>
      <c r="T14" s="26" t="n">
        <f aca="false">IF(C14="","",IFERROR(E14*Stock!$I$5+F14*Stock!$I$6+G14*Stock!$I$7+H14*Stock!$I$8+I14*Stock!$I$9+J14*Stock!$I$10+K14*Stock!$I$11+L14*Stock!$I$12+M14*Stock!$I$13+N14*Stock!$I$14+O14*Stock!$I$15+P14*Stock!$I$16+Q14*Stock!$I$17+R14*Stock!$I$18+S14*Stock!$I$19,""))</f>
        <v>0</v>
      </c>
      <c r="U14" s="27"/>
      <c r="V14" s="28"/>
      <c r="W14" s="26" t="str">
        <f aca="false">IF(C14="","",IFERROR(T14/V14,""))</f>
        <v/>
      </c>
      <c r="X14" s="26" t="str">
        <f aca="false">IF(C14="","",IFERROR(T14/U14,""))</f>
        <v/>
      </c>
      <c r="Y14" s="15"/>
    </row>
    <row r="15" customFormat="false" ht="15" hidden="false" customHeight="false" outlineLevel="0" collapsed="false">
      <c r="A15" s="24"/>
      <c r="B15" s="15"/>
      <c r="C15" s="15" t="s">
        <v>32</v>
      </c>
      <c r="D15" s="15" t="s">
        <v>115</v>
      </c>
      <c r="E15" s="25"/>
      <c r="F15" s="25"/>
      <c r="G15" s="25"/>
      <c r="H15" s="25"/>
      <c r="I15" s="25"/>
      <c r="J15" s="25"/>
      <c r="K15" s="25"/>
      <c r="L15" s="25"/>
      <c r="M15" s="25"/>
      <c r="N15" s="25"/>
      <c r="O15" s="25"/>
      <c r="P15" s="25"/>
      <c r="Q15" s="25"/>
      <c r="R15" s="25"/>
      <c r="S15" s="25"/>
      <c r="T15" s="26" t="n">
        <f aca="false">IF(C15="","",IFERROR(E15*Stock!$I$5+F15*Stock!$I$6+G15*Stock!$I$7+H15*Stock!$I$8+I15*Stock!$I$9+J15*Stock!$I$10+K15*Stock!$I$11+L15*Stock!$I$12+M15*Stock!$I$13+N15*Stock!$I$14+O15*Stock!$I$15+P15*Stock!$I$16+Q15*Stock!$I$17+R15*Stock!$I$18+S15*Stock!$I$19,""))</f>
        <v>0</v>
      </c>
      <c r="U15" s="27"/>
      <c r="V15" s="28"/>
      <c r="W15" s="26" t="str">
        <f aca="false">IF(C15="","",IFERROR(T15/V15,""))</f>
        <v/>
      </c>
      <c r="X15" s="26" t="str">
        <f aca="false">IF(C15="","",IFERROR(T15/U15,""))</f>
        <v/>
      </c>
      <c r="Y15" s="15"/>
    </row>
    <row r="16" customFormat="false" ht="15" hidden="false" customHeight="false" outlineLevel="0" collapsed="false">
      <c r="A16" s="24"/>
      <c r="B16" s="15"/>
      <c r="C16" s="15" t="s">
        <v>32</v>
      </c>
      <c r="D16" s="15" t="s">
        <v>115</v>
      </c>
      <c r="E16" s="25"/>
      <c r="F16" s="25"/>
      <c r="G16" s="25"/>
      <c r="H16" s="25"/>
      <c r="I16" s="25"/>
      <c r="J16" s="25"/>
      <c r="K16" s="25"/>
      <c r="L16" s="25"/>
      <c r="M16" s="25"/>
      <c r="N16" s="25"/>
      <c r="O16" s="25"/>
      <c r="P16" s="25"/>
      <c r="Q16" s="25"/>
      <c r="R16" s="25"/>
      <c r="S16" s="25"/>
      <c r="T16" s="26" t="n">
        <f aca="false">IF(C16="","",IFERROR(E16*Stock!$I$5+F16*Stock!$I$6+G16*Stock!$I$7+H16*Stock!$I$8+I16*Stock!$I$9+J16*Stock!$I$10+K16*Stock!$I$11+L16*Stock!$I$12+M16*Stock!$I$13+N16*Stock!$I$14+O16*Stock!$I$15+P16*Stock!$I$16+Q16*Stock!$I$17+R16*Stock!$I$18+S16*Stock!$I$19,""))</f>
        <v>0</v>
      </c>
      <c r="U16" s="27"/>
      <c r="V16" s="28"/>
      <c r="W16" s="26" t="str">
        <f aca="false">IF(C16="","",IFERROR(T16/V16,""))</f>
        <v/>
      </c>
      <c r="X16" s="26" t="str">
        <f aca="false">IF(C16="","",IFERROR(T16/U16,""))</f>
        <v/>
      </c>
      <c r="Y16" s="15"/>
    </row>
    <row r="17" customFormat="false" ht="15" hidden="false" customHeight="false" outlineLevel="0" collapsed="false">
      <c r="A17" s="24"/>
      <c r="B17" s="15"/>
      <c r="C17" s="15" t="s">
        <v>32</v>
      </c>
      <c r="D17" s="15" t="s">
        <v>115</v>
      </c>
      <c r="E17" s="25"/>
      <c r="F17" s="25"/>
      <c r="G17" s="25"/>
      <c r="H17" s="25"/>
      <c r="I17" s="25"/>
      <c r="J17" s="25"/>
      <c r="K17" s="25"/>
      <c r="L17" s="25"/>
      <c r="M17" s="25"/>
      <c r="N17" s="25"/>
      <c r="O17" s="25"/>
      <c r="P17" s="25"/>
      <c r="Q17" s="25"/>
      <c r="R17" s="25"/>
      <c r="S17" s="25"/>
      <c r="T17" s="26" t="n">
        <f aca="false">IF(C17="","",IFERROR(E17*Stock!$I$5+F17*Stock!$I$6+G17*Stock!$I$7+H17*Stock!$I$8+I17*Stock!$I$9+J17*Stock!$I$10+K17*Stock!$I$11+L17*Stock!$I$12+M17*Stock!$I$13+N17*Stock!$I$14+O17*Stock!$I$15+P17*Stock!$I$16+Q17*Stock!$I$17+R17*Stock!$I$18+S17*Stock!$I$19,""))</f>
        <v>0</v>
      </c>
      <c r="U17" s="27"/>
      <c r="V17" s="28"/>
      <c r="W17" s="26" t="str">
        <f aca="false">IF(C17="","",IFERROR(T17/V17,""))</f>
        <v/>
      </c>
      <c r="X17" s="26" t="str">
        <f aca="false">IF(C17="","",IFERROR(T17/U17,""))</f>
        <v/>
      </c>
      <c r="Y17" s="15"/>
    </row>
    <row r="18" customFormat="false" ht="15" hidden="false" customHeight="false" outlineLevel="0" collapsed="false">
      <c r="A18" s="24"/>
      <c r="B18" s="15"/>
      <c r="C18" s="15" t="s">
        <v>32</v>
      </c>
      <c r="D18" s="15" t="s">
        <v>115</v>
      </c>
      <c r="E18" s="25"/>
      <c r="F18" s="25"/>
      <c r="G18" s="25"/>
      <c r="H18" s="25"/>
      <c r="I18" s="25"/>
      <c r="J18" s="25"/>
      <c r="K18" s="25"/>
      <c r="L18" s="25"/>
      <c r="M18" s="25"/>
      <c r="N18" s="25"/>
      <c r="O18" s="25"/>
      <c r="P18" s="25"/>
      <c r="Q18" s="25"/>
      <c r="R18" s="25"/>
      <c r="S18" s="25"/>
      <c r="T18" s="26" t="n">
        <f aca="false">IF(C18="","",IFERROR(E18*Stock!$I$5+F18*Stock!$I$6+G18*Stock!$I$7+H18*Stock!$I$8+I18*Stock!$I$9+J18*Stock!$I$10+K18*Stock!$I$11+L18*Stock!$I$12+M18*Stock!$I$13+N18*Stock!$I$14+O18*Stock!$I$15+P18*Stock!$I$16+Q18*Stock!$I$17+R18*Stock!$I$18+S18*Stock!$I$19,""))</f>
        <v>0</v>
      </c>
      <c r="U18" s="27"/>
      <c r="V18" s="28"/>
      <c r="W18" s="26" t="str">
        <f aca="false">IF(C18="","",IFERROR(T18/V18,""))</f>
        <v/>
      </c>
      <c r="X18" s="26" t="str">
        <f aca="false">IF(C18="","",IFERROR(T18/U18,""))</f>
        <v/>
      </c>
      <c r="Y18" s="15"/>
    </row>
    <row r="19" customFormat="false" ht="15" hidden="false" customHeight="false" outlineLevel="0" collapsed="false">
      <c r="A19" s="24"/>
      <c r="B19" s="15"/>
      <c r="C19" s="15" t="s">
        <v>32</v>
      </c>
      <c r="D19" s="15" t="s">
        <v>115</v>
      </c>
      <c r="E19" s="25"/>
      <c r="F19" s="25"/>
      <c r="G19" s="25"/>
      <c r="H19" s="25"/>
      <c r="I19" s="25"/>
      <c r="J19" s="25"/>
      <c r="K19" s="25"/>
      <c r="L19" s="25"/>
      <c r="M19" s="25"/>
      <c r="N19" s="25"/>
      <c r="O19" s="25"/>
      <c r="P19" s="25"/>
      <c r="Q19" s="25"/>
      <c r="R19" s="25"/>
      <c r="S19" s="25"/>
      <c r="T19" s="26" t="n">
        <f aca="false">IF(C19="","",IFERROR(E19*Stock!$I$5+F19*Stock!$I$6+G19*Stock!$I$7+H19*Stock!$I$8+I19*Stock!$I$9+J19*Stock!$I$10+K19*Stock!$I$11+L19*Stock!$I$12+M19*Stock!$I$13+N19*Stock!$I$14+O19*Stock!$I$15+P19*Stock!$I$16+Q19*Stock!$I$17+R19*Stock!$I$18+S19*Stock!$I$19,""))</f>
        <v>0</v>
      </c>
      <c r="U19" s="27"/>
      <c r="V19" s="28"/>
      <c r="W19" s="26" t="str">
        <f aca="false">IF(C19="","",IFERROR(T19/V19,""))</f>
        <v/>
      </c>
      <c r="X19" s="26" t="str">
        <f aca="false">IF(C19="","",IFERROR(T19/U19,""))</f>
        <v/>
      </c>
      <c r="Y19" s="15"/>
    </row>
    <row r="20" customFormat="false" ht="15" hidden="false" customHeight="false" outlineLevel="0" collapsed="false">
      <c r="A20" s="24"/>
      <c r="B20" s="15"/>
      <c r="C20" s="15" t="s">
        <v>32</v>
      </c>
      <c r="D20" s="15" t="s">
        <v>115</v>
      </c>
      <c r="E20" s="25"/>
      <c r="F20" s="25"/>
      <c r="G20" s="25"/>
      <c r="H20" s="25"/>
      <c r="I20" s="25"/>
      <c r="J20" s="25"/>
      <c r="K20" s="25"/>
      <c r="L20" s="25"/>
      <c r="M20" s="25"/>
      <c r="N20" s="25"/>
      <c r="O20" s="25"/>
      <c r="P20" s="25"/>
      <c r="Q20" s="25"/>
      <c r="R20" s="25"/>
      <c r="S20" s="25"/>
      <c r="T20" s="26" t="n">
        <f aca="false">IF(C20="","",IFERROR(E20*Stock!$I$5+F20*Stock!$I$6+G20*Stock!$I$7+H20*Stock!$I$8+I20*Stock!$I$9+J20*Stock!$I$10+K20*Stock!$I$11+L20*Stock!$I$12+M20*Stock!$I$13+N20*Stock!$I$14+O20*Stock!$I$15+P20*Stock!$I$16+Q20*Stock!$I$17+R20*Stock!$I$18+S20*Stock!$I$19,""))</f>
        <v>0</v>
      </c>
      <c r="U20" s="27"/>
      <c r="V20" s="28"/>
      <c r="W20" s="26" t="str">
        <f aca="false">IF(C20="","",IFERROR(T20/V20,""))</f>
        <v/>
      </c>
      <c r="X20" s="26" t="str">
        <f aca="false">IF(C20="","",IFERROR(T20/U20,""))</f>
        <v/>
      </c>
      <c r="Y20" s="15"/>
    </row>
    <row r="21" customFormat="false" ht="15.75" hidden="false" customHeight="true" outlineLevel="0" collapsed="false">
      <c r="A21" s="24"/>
      <c r="B21" s="15"/>
      <c r="C21" s="15" t="s">
        <v>32</v>
      </c>
      <c r="D21" s="15" t="s">
        <v>115</v>
      </c>
      <c r="E21" s="25"/>
      <c r="F21" s="25"/>
      <c r="G21" s="25"/>
      <c r="H21" s="25"/>
      <c r="I21" s="25"/>
      <c r="J21" s="25"/>
      <c r="K21" s="25"/>
      <c r="L21" s="25"/>
      <c r="M21" s="25"/>
      <c r="N21" s="25"/>
      <c r="O21" s="25"/>
      <c r="P21" s="25"/>
      <c r="Q21" s="25"/>
      <c r="R21" s="25"/>
      <c r="S21" s="25"/>
      <c r="T21" s="26" t="n">
        <f aca="false">IF(C21="","",IFERROR(E21*Stock!$I$5+F21*Stock!$I$6+G21*Stock!$I$7+H21*Stock!$I$8+I21*Stock!$I$9+J21*Stock!$I$10+K21*Stock!$I$11+L21*Stock!$I$12+M21*Stock!$I$13+N21*Stock!$I$14+O21*Stock!$I$15+P21*Stock!$I$16+Q21*Stock!$I$17+R21*Stock!$I$18+S21*Stock!$I$19,""))</f>
        <v>0</v>
      </c>
      <c r="U21" s="27"/>
      <c r="V21" s="28"/>
      <c r="W21" s="26" t="str">
        <f aca="false">IF(C21="","",IFERROR(T21/V21,""))</f>
        <v/>
      </c>
      <c r="X21" s="26" t="str">
        <f aca="false">IF(C21="","",IFERROR(T21/U21,""))</f>
        <v/>
      </c>
      <c r="Y21" s="15"/>
    </row>
    <row r="22" customFormat="false" ht="15.75" hidden="false" customHeight="true" outlineLevel="0" collapsed="false">
      <c r="A22" s="24"/>
      <c r="B22" s="15"/>
      <c r="C22" s="15" t="s">
        <v>32</v>
      </c>
      <c r="D22" s="15" t="s">
        <v>115</v>
      </c>
      <c r="E22" s="25"/>
      <c r="F22" s="25"/>
      <c r="G22" s="25"/>
      <c r="H22" s="25"/>
      <c r="I22" s="25"/>
      <c r="J22" s="25"/>
      <c r="K22" s="25"/>
      <c r="L22" s="25"/>
      <c r="M22" s="25"/>
      <c r="N22" s="25"/>
      <c r="O22" s="25"/>
      <c r="P22" s="25"/>
      <c r="Q22" s="25"/>
      <c r="R22" s="25"/>
      <c r="S22" s="25"/>
      <c r="T22" s="26" t="n">
        <f aca="false">IF(C22="","",IFERROR(E22*Stock!$I$5+F22*Stock!$I$6+G22*Stock!$I$7+H22*Stock!$I$8+I22*Stock!$I$9+J22*Stock!$I$10+K22*Stock!$I$11+L22*Stock!$I$12+M22*Stock!$I$13+N22*Stock!$I$14+O22*Stock!$I$15+P22*Stock!$I$16+Q22*Stock!$I$17+R22*Stock!$I$18+S22*Stock!$I$19,""))</f>
        <v>0</v>
      </c>
      <c r="U22" s="27"/>
      <c r="V22" s="28"/>
      <c r="W22" s="26" t="str">
        <f aca="false">IF(C22="","",IFERROR(T22/V22,""))</f>
        <v/>
      </c>
      <c r="X22" s="26" t="str">
        <f aca="false">IF(C22="","",IFERROR(T22/U22,""))</f>
        <v/>
      </c>
      <c r="Y22" s="15"/>
    </row>
    <row r="23" customFormat="false" ht="15.75" hidden="false" customHeight="true" outlineLevel="0" collapsed="false">
      <c r="A23" s="24"/>
      <c r="B23" s="15"/>
      <c r="C23" s="15" t="s">
        <v>32</v>
      </c>
      <c r="D23" s="15" t="s">
        <v>115</v>
      </c>
      <c r="E23" s="25"/>
      <c r="F23" s="25"/>
      <c r="G23" s="25"/>
      <c r="H23" s="25"/>
      <c r="I23" s="25"/>
      <c r="J23" s="25"/>
      <c r="K23" s="25"/>
      <c r="L23" s="25"/>
      <c r="M23" s="25"/>
      <c r="N23" s="25"/>
      <c r="O23" s="25"/>
      <c r="P23" s="25"/>
      <c r="Q23" s="25"/>
      <c r="R23" s="25"/>
      <c r="S23" s="25"/>
      <c r="T23" s="26" t="n">
        <f aca="false">IF(C23="","",IFERROR(E23*Stock!$I$5+F23*Stock!$I$6+G23*Stock!$I$7+H23*Stock!$I$8+I23*Stock!$I$9+J23*Stock!$I$10+K23*Stock!$I$11+L23*Stock!$I$12+M23*Stock!$I$13+N23*Stock!$I$14+O23*Stock!$I$15+P23*Stock!$I$16+Q23*Stock!$I$17+R23*Stock!$I$18+S23*Stock!$I$19,""))</f>
        <v>0</v>
      </c>
      <c r="U23" s="27"/>
      <c r="V23" s="28"/>
      <c r="W23" s="26" t="str">
        <f aca="false">IF(C23="","",IFERROR(T23/V23,""))</f>
        <v/>
      </c>
      <c r="X23" s="26" t="str">
        <f aca="false">IF(C23="","",IFERROR(T23/U23,""))</f>
        <v/>
      </c>
      <c r="Y23" s="15"/>
    </row>
    <row r="24" customFormat="false" ht="15.75" hidden="false" customHeight="true" outlineLevel="0" collapsed="false">
      <c r="A24" s="24"/>
      <c r="B24" s="15"/>
      <c r="C24" s="15" t="s">
        <v>32</v>
      </c>
      <c r="D24" s="15" t="s">
        <v>115</v>
      </c>
      <c r="E24" s="25"/>
      <c r="F24" s="25"/>
      <c r="G24" s="25"/>
      <c r="H24" s="25"/>
      <c r="I24" s="25"/>
      <c r="J24" s="25"/>
      <c r="K24" s="25"/>
      <c r="L24" s="25"/>
      <c r="M24" s="25"/>
      <c r="N24" s="25"/>
      <c r="O24" s="25"/>
      <c r="P24" s="25"/>
      <c r="Q24" s="25"/>
      <c r="R24" s="25"/>
      <c r="S24" s="25"/>
      <c r="T24" s="26" t="n">
        <f aca="false">IF(C24="","",IFERROR(E24*Stock!$I$5+F24*Stock!$I$6+G24*Stock!$I$7+H24*Stock!$I$8+I24*Stock!$I$9+J24*Stock!$I$10+K24*Stock!$I$11+L24*Stock!$I$12+M24*Stock!$I$13+N24*Stock!$I$14+O24*Stock!$I$15+P24*Stock!$I$16+Q24*Stock!$I$17+R24*Stock!$I$18+S24*Stock!$I$19,""))</f>
        <v>0</v>
      </c>
      <c r="U24" s="27"/>
      <c r="V24" s="28"/>
      <c r="W24" s="26" t="str">
        <f aca="false">IF(C24="","",IFERROR(T24/V24,""))</f>
        <v/>
      </c>
      <c r="X24" s="26" t="str">
        <f aca="false">IF(C24="","",IFERROR(T24/U24,""))</f>
        <v/>
      </c>
      <c r="Y24" s="15"/>
    </row>
    <row r="25" customFormat="false" ht="15.75" hidden="false" customHeight="true" outlineLevel="0" collapsed="false">
      <c r="A25" s="24"/>
      <c r="B25" s="15"/>
      <c r="C25" s="15" t="s">
        <v>32</v>
      </c>
      <c r="D25" s="15" t="s">
        <v>115</v>
      </c>
      <c r="E25" s="25"/>
      <c r="F25" s="25"/>
      <c r="G25" s="25"/>
      <c r="H25" s="25"/>
      <c r="I25" s="25"/>
      <c r="J25" s="25"/>
      <c r="K25" s="25"/>
      <c r="L25" s="25"/>
      <c r="M25" s="25"/>
      <c r="N25" s="25"/>
      <c r="O25" s="25"/>
      <c r="P25" s="25"/>
      <c r="Q25" s="25"/>
      <c r="R25" s="25"/>
      <c r="S25" s="25"/>
      <c r="T25" s="26" t="n">
        <f aca="false">IF(C25="","",IFERROR(E25*Stock!$I$5+F25*Stock!$I$6+G25*Stock!$I$7+H25*Stock!$I$8+I25*Stock!$I$9+J25*Stock!$I$10+K25*Stock!$I$11+L25*Stock!$I$12+M25*Stock!$I$13+N25*Stock!$I$14+O25*Stock!$I$15+P25*Stock!$I$16+Q25*Stock!$I$17+R25*Stock!$I$18+S25*Stock!$I$19,""))</f>
        <v>0</v>
      </c>
      <c r="U25" s="27"/>
      <c r="V25" s="28"/>
      <c r="W25" s="26" t="str">
        <f aca="false">IF(C25="","",IFERROR(T25/V25,""))</f>
        <v/>
      </c>
      <c r="X25" s="26" t="str">
        <f aca="false">IF(C25="","",IFERROR(T25/U25,""))</f>
        <v/>
      </c>
      <c r="Y25" s="15"/>
    </row>
    <row r="26" customFormat="false" ht="15.75" hidden="false" customHeight="true" outlineLevel="0" collapsed="false">
      <c r="A26" s="24"/>
      <c r="B26" s="15"/>
      <c r="C26" s="15" t="s">
        <v>32</v>
      </c>
      <c r="D26" s="15" t="s">
        <v>115</v>
      </c>
      <c r="E26" s="25"/>
      <c r="F26" s="25"/>
      <c r="G26" s="25"/>
      <c r="H26" s="25"/>
      <c r="I26" s="25"/>
      <c r="J26" s="25"/>
      <c r="K26" s="25"/>
      <c r="L26" s="25"/>
      <c r="M26" s="25"/>
      <c r="N26" s="25"/>
      <c r="O26" s="25"/>
      <c r="P26" s="25"/>
      <c r="Q26" s="25"/>
      <c r="R26" s="25"/>
      <c r="S26" s="25"/>
      <c r="T26" s="26" t="n">
        <f aca="false">IF(C26="","",IFERROR(E26*Stock!$I$5+F26*Stock!$I$6+G26*Stock!$I$7+H26*Stock!$I$8+I26*Stock!$I$9+J26*Stock!$I$10+K26*Stock!$I$11+L26*Stock!$I$12+M26*Stock!$I$13+N26*Stock!$I$14+O26*Stock!$I$15+P26*Stock!$I$16+Q26*Stock!$I$17+R26*Stock!$I$18+S26*Stock!$I$19,""))</f>
        <v>0</v>
      </c>
      <c r="U26" s="27"/>
      <c r="V26" s="28"/>
      <c r="W26" s="26" t="str">
        <f aca="false">IF(C26="","",IFERROR(T26/V26,""))</f>
        <v/>
      </c>
      <c r="X26" s="26" t="str">
        <f aca="false">IF(C26="","",IFERROR(T26/U26,""))</f>
        <v/>
      </c>
      <c r="Y26" s="15"/>
    </row>
    <row r="27" customFormat="false" ht="15.75" hidden="false" customHeight="true" outlineLevel="0" collapsed="false">
      <c r="A27" s="24"/>
      <c r="B27" s="15"/>
      <c r="C27" s="15" t="s">
        <v>32</v>
      </c>
      <c r="D27" s="15" t="s">
        <v>115</v>
      </c>
      <c r="E27" s="25"/>
      <c r="F27" s="25"/>
      <c r="G27" s="25"/>
      <c r="H27" s="25"/>
      <c r="I27" s="25"/>
      <c r="J27" s="25"/>
      <c r="K27" s="25"/>
      <c r="L27" s="25"/>
      <c r="M27" s="25"/>
      <c r="N27" s="25"/>
      <c r="O27" s="25"/>
      <c r="P27" s="25"/>
      <c r="Q27" s="25"/>
      <c r="R27" s="25"/>
      <c r="S27" s="25"/>
      <c r="T27" s="26" t="n">
        <f aca="false">IF(C27="","",IFERROR(E27*Stock!$I$5+F27*Stock!$I$6+G27*Stock!$I$7+H27*Stock!$I$8+I27*Stock!$I$9+J27*Stock!$I$10+K27*Stock!$I$11+L27*Stock!$I$12+M27*Stock!$I$13+N27*Stock!$I$14+O27*Stock!$I$15+P27*Stock!$I$16+Q27*Stock!$I$17+R27*Stock!$I$18+S27*Stock!$I$19,""))</f>
        <v>0</v>
      </c>
      <c r="U27" s="27"/>
      <c r="V27" s="28"/>
      <c r="W27" s="26" t="str">
        <f aca="false">IF(C27="","",IFERROR(T27/V27,""))</f>
        <v/>
      </c>
      <c r="X27" s="26" t="str">
        <f aca="false">IF(C27="","",IFERROR(T27/U27,""))</f>
        <v/>
      </c>
      <c r="Y27" s="15"/>
    </row>
    <row r="28" customFormat="false" ht="15.75" hidden="false" customHeight="true" outlineLevel="0" collapsed="false">
      <c r="A28" s="24"/>
      <c r="B28" s="15"/>
      <c r="C28" s="15" t="s">
        <v>32</v>
      </c>
      <c r="D28" s="15" t="s">
        <v>115</v>
      </c>
      <c r="E28" s="25"/>
      <c r="F28" s="25"/>
      <c r="G28" s="25"/>
      <c r="H28" s="25"/>
      <c r="I28" s="25"/>
      <c r="J28" s="25"/>
      <c r="K28" s="25"/>
      <c r="L28" s="25"/>
      <c r="M28" s="25"/>
      <c r="N28" s="25"/>
      <c r="O28" s="25"/>
      <c r="P28" s="25"/>
      <c r="Q28" s="25"/>
      <c r="R28" s="25"/>
      <c r="S28" s="25"/>
      <c r="T28" s="26" t="n">
        <f aca="false">IF(C28="","",IFERROR(E28*Stock!$I$5+F28*Stock!$I$6+G28*Stock!$I$7+H28*Stock!$I$8+I28*Stock!$I$9+J28*Stock!$I$10+K28*Stock!$I$11+L28*Stock!$I$12+M28*Stock!$I$13+N28*Stock!$I$14+O28*Stock!$I$15+P28*Stock!$I$16+Q28*Stock!$I$17+R28*Stock!$I$18+S28*Stock!$I$19,""))</f>
        <v>0</v>
      </c>
      <c r="U28" s="27"/>
      <c r="V28" s="28"/>
      <c r="W28" s="26" t="str">
        <f aca="false">IF(C28="","",IFERROR(T28/V28,""))</f>
        <v/>
      </c>
      <c r="X28" s="26" t="str">
        <f aca="false">IF(C28="","",IFERROR(T28/U28,""))</f>
        <v/>
      </c>
      <c r="Y28" s="15"/>
    </row>
    <row r="29" customFormat="false" ht="15.75" hidden="false" customHeight="true" outlineLevel="0" collapsed="false">
      <c r="A29" s="24"/>
      <c r="B29" s="15"/>
      <c r="C29" s="15" t="s">
        <v>32</v>
      </c>
      <c r="D29" s="15" t="s">
        <v>115</v>
      </c>
      <c r="E29" s="25"/>
      <c r="F29" s="25"/>
      <c r="G29" s="25"/>
      <c r="H29" s="25"/>
      <c r="I29" s="25"/>
      <c r="J29" s="25"/>
      <c r="K29" s="25"/>
      <c r="L29" s="25"/>
      <c r="M29" s="25"/>
      <c r="N29" s="25"/>
      <c r="O29" s="25"/>
      <c r="P29" s="25"/>
      <c r="Q29" s="25"/>
      <c r="R29" s="25"/>
      <c r="S29" s="25"/>
      <c r="T29" s="26" t="n">
        <f aca="false">IF(C29="","",IFERROR(E29*Stock!$I$5+F29*Stock!$I$6+G29*Stock!$I$7+H29*Stock!$I$8+I29*Stock!$I$9+J29*Stock!$I$10+K29*Stock!$I$11+L29*Stock!$I$12+M29*Stock!$I$13+N29*Stock!$I$14+O29*Stock!$I$15+P29*Stock!$I$16+Q29*Stock!$I$17+R29*Stock!$I$18+S29*Stock!$I$19,""))</f>
        <v>0</v>
      </c>
      <c r="U29" s="27"/>
      <c r="V29" s="28"/>
      <c r="W29" s="26" t="str">
        <f aca="false">IF(C29="","",IFERROR(T29/V29,""))</f>
        <v/>
      </c>
      <c r="X29" s="26" t="str">
        <f aca="false">IF(C29="","",IFERROR(T29/U29,""))</f>
        <v/>
      </c>
      <c r="Y29" s="15"/>
    </row>
    <row r="30" customFormat="false" ht="15.75" hidden="false" customHeight="true" outlineLevel="0" collapsed="false">
      <c r="A30" s="24"/>
      <c r="B30" s="15"/>
      <c r="C30" s="15" t="s">
        <v>32</v>
      </c>
      <c r="D30" s="15" t="s">
        <v>115</v>
      </c>
      <c r="E30" s="25"/>
      <c r="F30" s="25"/>
      <c r="G30" s="25"/>
      <c r="H30" s="25"/>
      <c r="I30" s="25"/>
      <c r="J30" s="25"/>
      <c r="K30" s="25"/>
      <c r="L30" s="25"/>
      <c r="M30" s="25"/>
      <c r="N30" s="25"/>
      <c r="O30" s="25"/>
      <c r="P30" s="25"/>
      <c r="Q30" s="25"/>
      <c r="R30" s="25"/>
      <c r="S30" s="25"/>
      <c r="T30" s="26" t="n">
        <f aca="false">IF(C30="","",IFERROR(E30*Stock!$I$5+F30*Stock!$I$6+G30*Stock!$I$7+H30*Stock!$I$8+I30*Stock!$I$9+J30*Stock!$I$10+K30*Stock!$I$11+L30*Stock!$I$12+M30*Stock!$I$13+N30*Stock!$I$14+O30*Stock!$I$15+P30*Stock!$I$16+Q30*Stock!$I$17+R30*Stock!$I$18+S30*Stock!$I$19,""))</f>
        <v>0</v>
      </c>
      <c r="U30" s="27"/>
      <c r="V30" s="28"/>
      <c r="W30" s="26" t="str">
        <f aca="false">IF(C30="","",IFERROR(T30/V30,""))</f>
        <v/>
      </c>
      <c r="X30" s="26" t="str">
        <f aca="false">IF(C30="","",IFERROR(T30/U30,""))</f>
        <v/>
      </c>
      <c r="Y30" s="15"/>
    </row>
    <row r="31" customFormat="false" ht="15.75" hidden="false" customHeight="true" outlineLevel="0" collapsed="false">
      <c r="A31" s="24"/>
      <c r="B31" s="15"/>
      <c r="C31" s="15" t="s">
        <v>32</v>
      </c>
      <c r="D31" s="15" t="s">
        <v>115</v>
      </c>
      <c r="E31" s="25"/>
      <c r="F31" s="25"/>
      <c r="G31" s="25"/>
      <c r="H31" s="25"/>
      <c r="I31" s="25"/>
      <c r="J31" s="25"/>
      <c r="K31" s="25"/>
      <c r="L31" s="25"/>
      <c r="M31" s="25"/>
      <c r="N31" s="25"/>
      <c r="O31" s="25"/>
      <c r="P31" s="25"/>
      <c r="Q31" s="25"/>
      <c r="R31" s="25"/>
      <c r="S31" s="25"/>
      <c r="T31" s="26" t="n">
        <f aca="false">IF(C31="","",IFERROR(E31*Stock!$I$5+F31*Stock!$I$6+G31*Stock!$I$7+H31*Stock!$I$8+I31*Stock!$I$9+J31*Stock!$I$10+K31*Stock!$I$11+L31*Stock!$I$12+M31*Stock!$I$13+N31*Stock!$I$14+O31*Stock!$I$15+P31*Stock!$I$16+Q31*Stock!$I$17+R31*Stock!$I$18+S31*Stock!$I$19,""))</f>
        <v>0</v>
      </c>
      <c r="U31" s="27"/>
      <c r="V31" s="28"/>
      <c r="W31" s="26" t="str">
        <f aca="false">IF(C31="","",IFERROR(T31/V31,""))</f>
        <v/>
      </c>
      <c r="X31" s="26" t="str">
        <f aca="false">IF(C31="","",IFERROR(T31/U31,""))</f>
        <v/>
      </c>
      <c r="Y31" s="15"/>
    </row>
    <row r="32" customFormat="false" ht="15.75" hidden="false" customHeight="true" outlineLevel="0" collapsed="false">
      <c r="A32" s="24"/>
      <c r="B32" s="15"/>
      <c r="C32" s="15" t="s">
        <v>32</v>
      </c>
      <c r="D32" s="15" t="s">
        <v>115</v>
      </c>
      <c r="E32" s="25"/>
      <c r="F32" s="25"/>
      <c r="G32" s="25"/>
      <c r="H32" s="25"/>
      <c r="I32" s="25"/>
      <c r="J32" s="25"/>
      <c r="K32" s="25"/>
      <c r="L32" s="25"/>
      <c r="M32" s="25"/>
      <c r="N32" s="25"/>
      <c r="O32" s="25"/>
      <c r="P32" s="25"/>
      <c r="Q32" s="25"/>
      <c r="R32" s="25"/>
      <c r="S32" s="25"/>
      <c r="T32" s="26" t="n">
        <f aca="false">IF(C32="","",IFERROR(E32*Stock!$I$5+F32*Stock!$I$6+G32*Stock!$I$7+H32*Stock!$I$8+I32*Stock!$I$9+J32*Stock!$I$10+K32*Stock!$I$11+L32*Stock!$I$12+M32*Stock!$I$13+N32*Stock!$I$14+O32*Stock!$I$15+P32*Stock!$I$16+Q32*Stock!$I$17+R32*Stock!$I$18+S32*Stock!$I$19,""))</f>
        <v>0</v>
      </c>
      <c r="U32" s="27"/>
      <c r="V32" s="28"/>
      <c r="W32" s="26" t="str">
        <f aca="false">IF(C32="","",IFERROR(T32/V32,""))</f>
        <v/>
      </c>
      <c r="X32" s="26" t="str">
        <f aca="false">IF(C32="","",IFERROR(T32/U32,""))</f>
        <v/>
      </c>
      <c r="Y32" s="15"/>
    </row>
    <row r="33" customFormat="false" ht="15.75" hidden="false" customHeight="true" outlineLevel="0" collapsed="false">
      <c r="A33" s="24"/>
      <c r="B33" s="15"/>
      <c r="C33" s="15" t="s">
        <v>32</v>
      </c>
      <c r="D33" s="15" t="s">
        <v>115</v>
      </c>
      <c r="E33" s="25"/>
      <c r="F33" s="25"/>
      <c r="G33" s="25"/>
      <c r="H33" s="25"/>
      <c r="I33" s="25"/>
      <c r="J33" s="25"/>
      <c r="K33" s="25"/>
      <c r="L33" s="25"/>
      <c r="M33" s="25"/>
      <c r="N33" s="25"/>
      <c r="O33" s="25"/>
      <c r="P33" s="25"/>
      <c r="Q33" s="25"/>
      <c r="R33" s="25"/>
      <c r="S33" s="25"/>
      <c r="T33" s="26" t="n">
        <f aca="false">IF(C33="","",IFERROR(E33*Stock!$I$5+F33*Stock!$I$6+G33*Stock!$I$7+H33*Stock!$I$8+I33*Stock!$I$9+J33*Stock!$I$10+K33*Stock!$I$11+L33*Stock!$I$12+M33*Stock!$I$13+N33*Stock!$I$14+O33*Stock!$I$15+P33*Stock!$I$16+Q33*Stock!$I$17+R33*Stock!$I$18+S33*Stock!$I$19,""))</f>
        <v>0</v>
      </c>
      <c r="U33" s="27"/>
      <c r="V33" s="28"/>
      <c r="W33" s="26" t="str">
        <f aca="false">IF(C33="","",IFERROR(T33/V33,""))</f>
        <v/>
      </c>
      <c r="X33" s="26" t="str">
        <f aca="false">IF(C33="","",IFERROR(T33/U33,""))</f>
        <v/>
      </c>
      <c r="Y33" s="15"/>
    </row>
    <row r="34" customFormat="false" ht="15.75" hidden="false" customHeight="true" outlineLevel="0" collapsed="false">
      <c r="A34" s="24"/>
      <c r="B34" s="15"/>
      <c r="C34" s="15" t="s">
        <v>32</v>
      </c>
      <c r="D34" s="15" t="s">
        <v>115</v>
      </c>
      <c r="E34" s="25"/>
      <c r="F34" s="25"/>
      <c r="G34" s="25"/>
      <c r="H34" s="25"/>
      <c r="I34" s="25"/>
      <c r="J34" s="25"/>
      <c r="K34" s="25"/>
      <c r="L34" s="25"/>
      <c r="M34" s="25"/>
      <c r="N34" s="25"/>
      <c r="O34" s="25"/>
      <c r="P34" s="25"/>
      <c r="Q34" s="25"/>
      <c r="R34" s="25"/>
      <c r="S34" s="25"/>
      <c r="T34" s="26" t="n">
        <f aca="false">IF(C34="","",IFERROR(E34*Stock!$I$5+F34*Stock!$I$6+G34*Stock!$I$7+H34*Stock!$I$8+I34*Stock!$I$9+J34*Stock!$I$10+K34*Stock!$I$11+L34*Stock!$I$12+M34*Stock!$I$13+N34*Stock!$I$14+O34*Stock!$I$15+P34*Stock!$I$16+Q34*Stock!$I$17+R34*Stock!$I$18+S34*Stock!$I$19,""))</f>
        <v>0</v>
      </c>
      <c r="U34" s="27"/>
      <c r="V34" s="28"/>
      <c r="W34" s="26" t="str">
        <f aca="false">IF(C34="","",IFERROR(T34/V34,""))</f>
        <v/>
      </c>
      <c r="X34" s="26" t="str">
        <f aca="false">IF(C34="","",IFERROR(T34/U34,""))</f>
        <v/>
      </c>
      <c r="Y34" s="15"/>
    </row>
    <row r="35" customFormat="false" ht="15.75" hidden="false" customHeight="true" outlineLevel="0" collapsed="false">
      <c r="A35" s="24"/>
      <c r="B35" s="15"/>
      <c r="C35" s="15" t="s">
        <v>32</v>
      </c>
      <c r="D35" s="15" t="s">
        <v>115</v>
      </c>
      <c r="E35" s="25"/>
      <c r="F35" s="25"/>
      <c r="G35" s="25"/>
      <c r="H35" s="25"/>
      <c r="I35" s="25"/>
      <c r="J35" s="25"/>
      <c r="K35" s="25"/>
      <c r="L35" s="25"/>
      <c r="M35" s="25"/>
      <c r="N35" s="25"/>
      <c r="O35" s="25"/>
      <c r="P35" s="25"/>
      <c r="Q35" s="25"/>
      <c r="R35" s="25"/>
      <c r="S35" s="25"/>
      <c r="T35" s="26" t="n">
        <f aca="false">IF(C35="","",IFERROR(E35*Stock!$I$5+F35*Stock!$I$6+G35*Stock!$I$7+H35*Stock!$I$8+I35*Stock!$I$9+J35*Stock!$I$10+K35*Stock!$I$11+L35*Stock!$I$12+M35*Stock!$I$13+N35*Stock!$I$14+O35*Stock!$I$15+P35*Stock!$I$16+Q35*Stock!$I$17+R35*Stock!$I$18+S35*Stock!$I$19,""))</f>
        <v>0</v>
      </c>
      <c r="U35" s="27"/>
      <c r="V35" s="28"/>
      <c r="W35" s="26" t="str">
        <f aca="false">IF(C35="","",IFERROR(T35/V35,""))</f>
        <v/>
      </c>
      <c r="X35" s="26" t="str">
        <f aca="false">IF(C35="","",IFERROR(T35/U35,""))</f>
        <v/>
      </c>
      <c r="Y35" s="15"/>
    </row>
    <row r="36" customFormat="false" ht="15.75" hidden="false" customHeight="true" outlineLevel="0" collapsed="false">
      <c r="A36" s="24"/>
      <c r="B36" s="15"/>
      <c r="C36" s="15" t="s">
        <v>32</v>
      </c>
      <c r="D36" s="15" t="s">
        <v>115</v>
      </c>
      <c r="E36" s="25"/>
      <c r="F36" s="25"/>
      <c r="G36" s="25"/>
      <c r="H36" s="25"/>
      <c r="I36" s="25"/>
      <c r="J36" s="25"/>
      <c r="K36" s="25"/>
      <c r="L36" s="25"/>
      <c r="M36" s="25"/>
      <c r="N36" s="25"/>
      <c r="O36" s="25"/>
      <c r="P36" s="25"/>
      <c r="Q36" s="25"/>
      <c r="R36" s="25"/>
      <c r="S36" s="25"/>
      <c r="T36" s="26" t="n">
        <f aca="false">IF(C36="","",IFERROR(E36*Stock!$I$5+F36*Stock!$I$6+G36*Stock!$I$7+H36*Stock!$I$8+I36*Stock!$I$9+J36*Stock!$I$10+K36*Stock!$I$11+L36*Stock!$I$12+M36*Stock!$I$13+N36*Stock!$I$14+O36*Stock!$I$15+P36*Stock!$I$16+Q36*Stock!$I$17+R36*Stock!$I$18+S36*Stock!$I$19,""))</f>
        <v>0</v>
      </c>
      <c r="U36" s="27"/>
      <c r="V36" s="28"/>
      <c r="W36" s="26" t="str">
        <f aca="false">IF(C36="","",IFERROR(T36/V36,""))</f>
        <v/>
      </c>
      <c r="X36" s="26" t="str">
        <f aca="false">IF(C36="","",IFERROR(T36/U36,""))</f>
        <v/>
      </c>
      <c r="Y36" s="15"/>
    </row>
    <row r="37" customFormat="false" ht="15.75" hidden="false" customHeight="true" outlineLevel="0" collapsed="false">
      <c r="A37" s="24"/>
      <c r="B37" s="15"/>
      <c r="C37" s="15" t="s">
        <v>32</v>
      </c>
      <c r="D37" s="15" t="s">
        <v>115</v>
      </c>
      <c r="E37" s="25"/>
      <c r="F37" s="25"/>
      <c r="G37" s="25"/>
      <c r="H37" s="25"/>
      <c r="I37" s="25"/>
      <c r="J37" s="25"/>
      <c r="K37" s="25"/>
      <c r="L37" s="25"/>
      <c r="M37" s="25"/>
      <c r="N37" s="25"/>
      <c r="O37" s="25"/>
      <c r="P37" s="25"/>
      <c r="Q37" s="25"/>
      <c r="R37" s="25"/>
      <c r="S37" s="25"/>
      <c r="T37" s="26" t="n">
        <f aca="false">IF(C37="","",IFERROR(E37*Stock!$I$5+F37*Stock!$I$6+G37*Stock!$I$7+H37*Stock!$I$8+I37*Stock!$I$9+J37*Stock!$I$10+K37*Stock!$I$11+L37*Stock!$I$12+M37*Stock!$I$13+N37*Stock!$I$14+O37*Stock!$I$15+P37*Stock!$I$16+Q37*Stock!$I$17+R37*Stock!$I$18+S37*Stock!$I$19,""))</f>
        <v>0</v>
      </c>
      <c r="U37" s="27"/>
      <c r="V37" s="28"/>
      <c r="W37" s="26" t="str">
        <f aca="false">IF(C37="","",IFERROR(T37/V37,""))</f>
        <v/>
      </c>
      <c r="X37" s="26" t="str">
        <f aca="false">IF(C37="","",IFERROR(T37/U37,""))</f>
        <v/>
      </c>
      <c r="Y37" s="15"/>
    </row>
    <row r="38" customFormat="false" ht="15.75" hidden="false" customHeight="true" outlineLevel="0" collapsed="false">
      <c r="A38" s="24"/>
      <c r="B38" s="15"/>
      <c r="C38" s="15" t="s">
        <v>32</v>
      </c>
      <c r="D38" s="15" t="s">
        <v>115</v>
      </c>
      <c r="E38" s="25"/>
      <c r="F38" s="25"/>
      <c r="G38" s="25"/>
      <c r="H38" s="25"/>
      <c r="I38" s="25"/>
      <c r="J38" s="25"/>
      <c r="K38" s="25"/>
      <c r="L38" s="25"/>
      <c r="M38" s="25"/>
      <c r="N38" s="25"/>
      <c r="O38" s="25"/>
      <c r="P38" s="25"/>
      <c r="Q38" s="25"/>
      <c r="R38" s="25"/>
      <c r="S38" s="25"/>
      <c r="T38" s="26" t="n">
        <f aca="false">IF(C38="","",IFERROR(E38*Stock!$I$5+F38*Stock!$I$6+G38*Stock!$I$7+H38*Stock!$I$8+I38*Stock!$I$9+J38*Stock!$I$10+K38*Stock!$I$11+L38*Stock!$I$12+M38*Stock!$I$13+N38*Stock!$I$14+O38*Stock!$I$15+P38*Stock!$I$16+Q38*Stock!$I$17+R38*Stock!$I$18+S38*Stock!$I$19,""))</f>
        <v>0</v>
      </c>
      <c r="U38" s="27"/>
      <c r="V38" s="28"/>
      <c r="W38" s="26" t="str">
        <f aca="false">IF(C38="","",IFERROR(T38/V38,""))</f>
        <v/>
      </c>
      <c r="X38" s="26" t="str">
        <f aca="false">IF(C38="","",IFERROR(T38/U38,""))</f>
        <v/>
      </c>
      <c r="Y38" s="15"/>
    </row>
    <row r="39" customFormat="false" ht="15.75" hidden="false" customHeight="true" outlineLevel="0" collapsed="false">
      <c r="A39" s="24"/>
      <c r="B39" s="15"/>
      <c r="C39" s="15" t="s">
        <v>32</v>
      </c>
      <c r="D39" s="15" t="s">
        <v>115</v>
      </c>
      <c r="E39" s="25"/>
      <c r="F39" s="25"/>
      <c r="G39" s="25"/>
      <c r="H39" s="25"/>
      <c r="I39" s="25"/>
      <c r="J39" s="25"/>
      <c r="K39" s="25"/>
      <c r="L39" s="25"/>
      <c r="M39" s="25"/>
      <c r="N39" s="25"/>
      <c r="O39" s="25"/>
      <c r="P39" s="25"/>
      <c r="Q39" s="25"/>
      <c r="R39" s="25"/>
      <c r="S39" s="25"/>
      <c r="T39" s="26" t="n">
        <f aca="false">IF(C39="","",IFERROR(E39*Stock!$I$5+F39*Stock!$I$6+G39*Stock!$I$7+H39*Stock!$I$8+I39*Stock!$I$9+J39*Stock!$I$10+K39*Stock!$I$11+L39*Stock!$I$12+M39*Stock!$I$13+N39*Stock!$I$14+O39*Stock!$I$15+P39*Stock!$I$16+Q39*Stock!$I$17+R39*Stock!$I$18+S39*Stock!$I$19,""))</f>
        <v>0</v>
      </c>
      <c r="U39" s="27"/>
      <c r="V39" s="28"/>
      <c r="W39" s="26" t="str">
        <f aca="false">IF(C39="","",IFERROR(T39/V39,""))</f>
        <v/>
      </c>
      <c r="X39" s="26" t="str">
        <f aca="false">IF(C39="","",IFERROR(T39/U39,""))</f>
        <v/>
      </c>
      <c r="Y39" s="15"/>
    </row>
    <row r="40" customFormat="false" ht="15.75" hidden="false" customHeight="true" outlineLevel="0" collapsed="false">
      <c r="A40" s="24"/>
      <c r="B40" s="15"/>
      <c r="C40" s="15" t="s">
        <v>32</v>
      </c>
      <c r="D40" s="15" t="s">
        <v>115</v>
      </c>
      <c r="E40" s="25"/>
      <c r="F40" s="25"/>
      <c r="G40" s="25"/>
      <c r="H40" s="25"/>
      <c r="I40" s="25"/>
      <c r="J40" s="25"/>
      <c r="K40" s="25"/>
      <c r="L40" s="25"/>
      <c r="M40" s="25"/>
      <c r="N40" s="25"/>
      <c r="O40" s="25"/>
      <c r="P40" s="25"/>
      <c r="Q40" s="25"/>
      <c r="R40" s="25"/>
      <c r="S40" s="25"/>
      <c r="T40" s="26" t="n">
        <f aca="false">IF(C40="","",IFERROR(E40*Stock!$I$5+F40*Stock!$I$6+G40*Stock!$I$7+H40*Stock!$I$8+I40*Stock!$I$9+J40*Stock!$I$10+K40*Stock!$I$11+L40*Stock!$I$12+M40*Stock!$I$13+N40*Stock!$I$14+O40*Stock!$I$15+P40*Stock!$I$16+Q40*Stock!$I$17+R40*Stock!$I$18+S40*Stock!$I$19,""))</f>
        <v>0</v>
      </c>
      <c r="U40" s="27"/>
      <c r="V40" s="28"/>
      <c r="W40" s="26" t="str">
        <f aca="false">IF(C40="","",IFERROR(T40/V40,""))</f>
        <v/>
      </c>
      <c r="X40" s="26" t="str">
        <f aca="false">IF(C40="","",IFERROR(T40/U40,""))</f>
        <v/>
      </c>
      <c r="Y40" s="15"/>
    </row>
    <row r="41" customFormat="false" ht="15.75" hidden="false" customHeight="true" outlineLevel="0" collapsed="false"/>
    <row r="42" customFormat="false" ht="15.75" hidden="false" customHeight="true" outlineLevel="0" collapsed="false">
      <c r="A42" s="9" t="s">
        <v>146</v>
      </c>
      <c r="B42" s="9"/>
      <c r="C42" s="9"/>
      <c r="D42" s="9"/>
      <c r="E42" s="9"/>
      <c r="F42" s="9"/>
      <c r="G42" s="9"/>
      <c r="H42" s="9"/>
      <c r="I42" s="9"/>
      <c r="J42" s="9"/>
      <c r="K42" s="9"/>
      <c r="L42" s="9"/>
      <c r="M42" s="9"/>
      <c r="N42" s="9"/>
      <c r="O42" s="9"/>
      <c r="P42" s="9"/>
      <c r="Q42" s="9"/>
      <c r="R42" s="9"/>
      <c r="S42" s="9"/>
      <c r="T42" s="9"/>
      <c r="U42" s="9"/>
      <c r="V42" s="9"/>
      <c r="W42" s="9"/>
      <c r="X42" s="9"/>
      <c r="Y42" s="9"/>
    </row>
    <row r="43" customFormat="false" ht="15.75" hidden="false" customHeight="true" outlineLevel="0" collapsed="false"/>
    <row r="44" customFormat="false" ht="15.75" hidden="false" customHeight="true" outlineLevel="0" collapsed="false">
      <c r="A44" s="32" t="s">
        <v>147</v>
      </c>
      <c r="B44" s="32"/>
      <c r="C44" s="32"/>
      <c r="D44" s="32"/>
      <c r="E44" s="32"/>
      <c r="F44" s="32"/>
      <c r="G44" s="32"/>
      <c r="H44" s="32"/>
      <c r="I44" s="32"/>
      <c r="J44" s="32"/>
      <c r="K44" s="32"/>
      <c r="L44" s="32"/>
      <c r="M44" s="32"/>
      <c r="N44" s="32"/>
      <c r="O44" s="32"/>
      <c r="P44" s="32"/>
      <c r="Q44" s="32"/>
      <c r="R44" s="32"/>
      <c r="S44" s="32"/>
      <c r="T44" s="32"/>
      <c r="U44" s="32"/>
      <c r="V44" s="32"/>
      <c r="W44" s="32"/>
      <c r="X44" s="32"/>
      <c r="Y44" s="32"/>
    </row>
    <row r="45" customFormat="false" ht="15.75" hidden="false" customHeight="true" outlineLevel="0" collapsed="false">
      <c r="A45" s="14" t="s">
        <v>26</v>
      </c>
      <c r="B45" s="14" t="s">
        <v>148</v>
      </c>
      <c r="C45" s="14" t="s">
        <v>149</v>
      </c>
      <c r="D45" s="14" t="s">
        <v>150</v>
      </c>
      <c r="E45" s="14" t="s">
        <v>151</v>
      </c>
      <c r="F45" s="14" t="s">
        <v>152</v>
      </c>
      <c r="G45" s="14" t="s">
        <v>153</v>
      </c>
    </row>
    <row r="46" customFormat="false" ht="15.75" hidden="false" customHeight="true" outlineLevel="0" collapsed="false">
      <c r="A46" s="33" t="str">
        <f aca="false">Productos!A5</f>
        <v>Milanesa de pollo</v>
      </c>
      <c r="B46" s="34" t="n">
        <f aca="false">IFERROR(SUMIFS($V$5:$V$40,$C$5:$C$40,A46),0)</f>
        <v>0</v>
      </c>
      <c r="C46" s="34" t="n">
        <f aca="false">IFERROR(SUMIFS(Ventas!$D$5:$D$49,Ventas!$C$5:$C$49,A46,Ventas!$I$5:$I$49,"&lt;&gt;Cancelado",Ventas!$I$5:$I$49,"&lt;&gt;"),0)</f>
        <v>46.059</v>
      </c>
      <c r="D46" s="34" t="n">
        <f aca="false">B46-C46</f>
        <v>-46.059</v>
      </c>
      <c r="E46" s="34" t="n">
        <f aca="false">IFERROR(SUMIFS($U$5:$U$40,$C$5:$C$40,A46),0)</f>
        <v>71</v>
      </c>
      <c r="F46" s="34" t="n">
        <f aca="false">SUMPRODUCT((Ventas!$C$5:$C$49=A46)*(Ventas!$I$5:$I$49&lt;&gt;"Cancelado")*(Ventas!$I$5:$I$49&lt;&gt;"")*((Ventas!$D$5:$D$49="")+(Ventas!$D$5:$D$49&lt;&gt;"")*INT(N(Ventas!$D$5:$D$49))))</f>
        <v>44</v>
      </c>
      <c r="G46" s="34" t="n">
        <f aca="false">E46-F46</f>
        <v>27</v>
      </c>
    </row>
    <row r="47" customFormat="false" ht="15.75" hidden="false" customHeight="true" outlineLevel="0" collapsed="false">
      <c r="A47" s="35" t="n">
        <f aca="false">Productos!A6</f>
        <v>0</v>
      </c>
      <c r="B47" s="36" t="n">
        <f aca="false">IFERROR(SUMIFS($V$5:$V$40,$C$5:$C$40,A47),0)</f>
        <v>0</v>
      </c>
      <c r="C47" s="36" t="n">
        <f aca="false">IFERROR(SUMIFS(Ventas!$D$5:$D$49,Ventas!$C$5:$C$49,A47,Ventas!$I$5:$I$49,"&lt;&gt;Cancelado",Ventas!$I$5:$I$49,"&lt;&gt;"),0)</f>
        <v>0</v>
      </c>
      <c r="D47" s="36" t="n">
        <f aca="false">B47-C47</f>
        <v>0</v>
      </c>
      <c r="E47" s="36" t="n">
        <f aca="false">IFERROR(SUMIFS($U$5:$U$40,$C$5:$C$40,A47),0)</f>
        <v>0</v>
      </c>
      <c r="F47" s="36" t="n">
        <f aca="false">SUMPRODUCT((Ventas!$C$5:$C$49=A47)*(Ventas!$I$5:$I$49&lt;&gt;"Cancelado")*(Ventas!$I$5:$I$49&lt;&gt;"")*((Ventas!$D$5:$D$49="")+(Ventas!$D$5:$D$49&lt;&gt;"")*INT(N(Ventas!$D$5:$D$49))))</f>
        <v>0</v>
      </c>
      <c r="G47" s="36" t="n">
        <f aca="false">E47-F47</f>
        <v>0</v>
      </c>
    </row>
    <row r="48" customFormat="false" ht="15.75" hidden="false" customHeight="true" outlineLevel="0" collapsed="false">
      <c r="A48" s="33" t="n">
        <f aca="false">Productos!A7</f>
        <v>0</v>
      </c>
      <c r="B48" s="34" t="n">
        <f aca="false">IFERROR(SUMIFS($V$5:$V$40,$C$5:$C$40,A48),0)</f>
        <v>0</v>
      </c>
      <c r="C48" s="34" t="n">
        <f aca="false">IFERROR(SUMIFS(Ventas!$D$5:$D$49,Ventas!$C$5:$C$49,A48,Ventas!$I$5:$I$49,"&lt;&gt;Cancelado",Ventas!$I$5:$I$49,"&lt;&gt;"),0)</f>
        <v>0</v>
      </c>
      <c r="D48" s="34" t="n">
        <f aca="false">B48-C48</f>
        <v>0</v>
      </c>
      <c r="E48" s="34" t="n">
        <f aca="false">IFERROR(SUMIFS($U$5:$U$40,$C$5:$C$40,A48),0)</f>
        <v>0</v>
      </c>
      <c r="F48" s="34" t="n">
        <f aca="false">SUMPRODUCT((Ventas!$C$5:$C$49=A48)*(Ventas!$I$5:$I$49&lt;&gt;"Cancelado")*(Ventas!$I$5:$I$49&lt;&gt;"")*((Ventas!$D$5:$D$49="")+(Ventas!$D$5:$D$49&lt;&gt;"")*INT(N(Ventas!$D$5:$D$49))))</f>
        <v>0</v>
      </c>
      <c r="G48" s="34" t="n">
        <f aca="false">E48-F48</f>
        <v>0</v>
      </c>
    </row>
    <row r="49" customFormat="false" ht="15.75" hidden="false" customHeight="true" outlineLevel="0" collapsed="false">
      <c r="A49" s="35" t="n">
        <f aca="false">Productos!A8</f>
        <v>0</v>
      </c>
      <c r="B49" s="36" t="n">
        <f aca="false">IFERROR(SUMIFS($V$5:$V$40,$C$5:$C$40,A49),0)</f>
        <v>0</v>
      </c>
      <c r="C49" s="36" t="n">
        <f aca="false">IFERROR(SUMIFS(Ventas!$D$5:$D$49,Ventas!$C$5:$C$49,A49,Ventas!$I$5:$I$49,"&lt;&gt;Cancelado",Ventas!$I$5:$I$49,"&lt;&gt;"),0)</f>
        <v>0</v>
      </c>
      <c r="D49" s="36" t="n">
        <f aca="false">B49-C49</f>
        <v>0</v>
      </c>
      <c r="E49" s="36" t="n">
        <f aca="false">IFERROR(SUMIFS($U$5:$U$40,$C$5:$C$40,A49),0)</f>
        <v>0</v>
      </c>
      <c r="F49" s="36" t="n">
        <f aca="false">SUMPRODUCT((Ventas!$C$5:$C$49=A49)*(Ventas!$I$5:$I$49&lt;&gt;"Cancelado")*(Ventas!$I$5:$I$49&lt;&gt;"")*((Ventas!$D$5:$D$49="")+(Ventas!$D$5:$D$49&lt;&gt;"")*INT(N(Ventas!$D$5:$D$49))))</f>
        <v>0</v>
      </c>
      <c r="G49" s="36" t="n">
        <f aca="false">E49-F49</f>
        <v>0</v>
      </c>
    </row>
    <row r="50" customFormat="false" ht="15.75" hidden="false" customHeight="true" outlineLevel="0" collapsed="false">
      <c r="A50" s="33" t="n">
        <f aca="false">Productos!A9</f>
        <v>0</v>
      </c>
      <c r="B50" s="34" t="n">
        <f aca="false">IFERROR(SUMIFS($V$5:$V$40,$C$5:$C$40,A50),0)</f>
        <v>0</v>
      </c>
      <c r="C50" s="34" t="n">
        <f aca="false">IFERROR(SUMIFS(Ventas!$D$5:$D$49,Ventas!$C$5:$C$49,A50,Ventas!$I$5:$I$49,"&lt;&gt;Cancelado",Ventas!$I$5:$I$49,"&lt;&gt;"),0)</f>
        <v>0</v>
      </c>
      <c r="D50" s="34" t="n">
        <f aca="false">B50-C50</f>
        <v>0</v>
      </c>
      <c r="E50" s="34" t="n">
        <f aca="false">IFERROR(SUMIFS($U$5:$U$40,$C$5:$C$40,A50),0)</f>
        <v>0</v>
      </c>
      <c r="F50" s="34" t="n">
        <f aca="false">SUMPRODUCT((Ventas!$C$5:$C$49=A50)*(Ventas!$I$5:$I$49&lt;&gt;"Cancelado")*(Ventas!$I$5:$I$49&lt;&gt;"")*((Ventas!$D$5:$D$49="")+(Ventas!$D$5:$D$49&lt;&gt;"")*INT(N(Ventas!$D$5:$D$49))))</f>
        <v>0</v>
      </c>
      <c r="G50" s="34" t="n">
        <f aca="false">E50-F50</f>
        <v>0</v>
      </c>
    </row>
    <row r="51" customFormat="false" ht="15.75" hidden="false" customHeight="true" outlineLevel="0" collapsed="false">
      <c r="A51" s="35" t="n">
        <f aca="false">Productos!A10</f>
        <v>0</v>
      </c>
      <c r="B51" s="36" t="n">
        <f aca="false">IFERROR(SUMIFS($V$5:$V$40,$C$5:$C$40,A51),0)</f>
        <v>0</v>
      </c>
      <c r="C51" s="36" t="n">
        <f aca="false">IFERROR(SUMIFS(Ventas!$D$5:$D$49,Ventas!$C$5:$C$49,A51,Ventas!$I$5:$I$49,"&lt;&gt;Cancelado",Ventas!$I$5:$I$49,"&lt;&gt;"),0)</f>
        <v>0</v>
      </c>
      <c r="D51" s="36" t="n">
        <f aca="false">B51-C51</f>
        <v>0</v>
      </c>
      <c r="E51" s="36" t="n">
        <f aca="false">IFERROR(SUMIFS($U$5:$U$40,$C$5:$C$40,A51),0)</f>
        <v>0</v>
      </c>
      <c r="F51" s="36" t="n">
        <f aca="false">SUMPRODUCT((Ventas!$C$5:$C$49=A51)*(Ventas!$I$5:$I$49&lt;&gt;"Cancelado")*(Ventas!$I$5:$I$49&lt;&gt;"")*((Ventas!$D$5:$D$49="")+(Ventas!$D$5:$D$49&lt;&gt;"")*INT(N(Ventas!$D$5:$D$49))))</f>
        <v>0</v>
      </c>
      <c r="G51" s="36" t="n">
        <f aca="false">E51-F51</f>
        <v>0</v>
      </c>
    </row>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A1:Y1"/>
    <mergeCell ref="A2:Y2"/>
    <mergeCell ref="A42:Y42"/>
    <mergeCell ref="A44:Y44"/>
  </mergeCells>
  <conditionalFormatting sqref="D5:D40">
    <cfRule type="expression" priority="2" aboveAverage="0" equalAverage="0" bottom="0" percent="0" rank="0" text="" dxfId="4">
      <formula>D5="No"</formula>
    </cfRule>
  </conditionalFormatting>
  <dataValidations count="2">
    <dataValidation allowBlank="true" errorStyle="stop" operator="between" showDropDown="false" showErrorMessage="false" showInputMessage="false" sqref="D5:D40" type="list">
      <formula1>"Sí,No"</formula1>
      <formula2>0</formula2>
    </dataValidation>
    <dataValidation allowBlank="true" errorStyle="stop" operator="between" showDropDown="false" showErrorMessage="false" showInputMessage="false" sqref="C5:C40" type="list">
      <formula1>Productos!$A$5:$A$10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2026-07-19T00:51:24Z</dcterms:created>
  <dc:creator>openpyxl</dc:creator>
  <dc:description/>
  <dc:language>en-US</dc:language>
  <cp:lastModifiedBy/>
  <dcterms:modified xsi:type="dcterms:W3CDTF">2026-07-19T00:51:24Z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